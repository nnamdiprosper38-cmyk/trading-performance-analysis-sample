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Trade Data" sheetId="2" state="visible" r:id="rId4"/>
    <sheet name="Metrics &amp; Definitions" sheetId="3" state="visible" r:id="rId5"/>
    <sheet name="Segments" sheetId="4" state="visible" r:id="rId6"/>
  </sheets>
  <definedNames>
    <definedName function="false" hidden="true" localSheetId="1" name="_xlnm._FilterDatabase" vbProcedure="false">'Trade Data'!$A$3:$AG$43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<sst xmlns="http://schemas.openxmlformats.org/spreadsheetml/2006/main" count="560" uniqueCount="241">
  <si>
    <t xml:space="preserve">SIMULATED CASE STUDY — FICTIONAL DATA — NOT ACTUAL CLIENT RESULTS</t>
  </si>
  <si>
    <t xml:space="preserve">Trading Performance Analysis – Sample Workbook</t>
  </si>
  <si>
    <t xml:space="preserve">Companion to Trading_Performance_Analysis_Sample_Report.pdf (portfolio demonstration).</t>
  </si>
  <si>
    <t xml:space="preserve">Sheets</t>
  </si>
  <si>
    <t xml:space="preserve">Trade Data: 40 fictional trades. Blue = typed inputs; black = formulas. Filters and frozen headers are on.</t>
  </si>
  <si>
    <t xml:space="preserve">Metrics &amp; Definitions: every headline metric as a live formula, next to the value printed in the PDF and an OK/CHECK flag.</t>
  </si>
  <si>
    <t xml:space="preserve">Segments: results by setup, session, instrument, direction, rule status and risk status (COUNTIFS/SUMIFS formulas).</t>
  </si>
  <si>
    <t xml:space="preserve">Conventions</t>
  </si>
  <si>
    <t xml:space="preserve">1R = planned risk on a trade = planned risk % x account equity before the trade (USD).</t>
  </si>
  <si>
    <t xml:space="preserve">Net result in R = Net P/L (USD) / 1R (USD). Win = net P/L above zero (after costs); loss = below zero.</t>
  </si>
  <si>
    <t xml:space="preserve">Drawdown in R and drawdown as % of account equity are different measures and are never mixed.</t>
  </si>
  <si>
    <t xml:space="preserve">Exposure = USD per 1.0 price unit (a simplification that avoids lot-size / pip-value conventions). Costs = round-turn spread x exposure.</t>
  </si>
  <si>
    <t xml:space="preserve">Starting equity (USD 10,000) is the blue input in Trade Data!W4; changing it recalculates the equity-based columns.</t>
  </si>
  <si>
    <t xml:space="preserve">Documented rules (hypothetical written plan)</t>
  </si>
  <si>
    <t xml:space="preserve">R1 size within 10% of planned risk | R2 Asian session only for USDJPY | R3 enter only after confirmation close | R4 exit only at stop, target or documented trail | R5 stop after two consecutive daily losses.</t>
  </si>
  <si>
    <t xml:space="preserve">Disclosures</t>
  </si>
  <si>
    <t xml:space="preserve">All trades, dates, prices and account figures are fictional. Outcomes and rule flags were authored by the preparer. Not investment advice. No performance claim is made.</t>
  </si>
  <si>
    <t xml:space="preserve">Blue = input, black = formula. 1R = planned risk in USD. Prices are fictional.</t>
  </si>
  <si>
    <t xml:space="preserve">Trade ID</t>
  </si>
  <si>
    <t xml:space="preserve">Trade Date</t>
  </si>
  <si>
    <t xml:space="preserve">Instrument</t>
  </si>
  <si>
    <t xml:space="preserve">Session</t>
  </si>
  <si>
    <t xml:space="preserve">Setup</t>
  </si>
  <si>
    <t xml:space="preserve">Direction</t>
  </si>
  <si>
    <t xml:space="preserve">Entry Price</t>
  </si>
  <si>
    <t xml:space="preserve">Stop-Loss Price</t>
  </si>
  <si>
    <t xml:space="preserve">Take-Profit Price</t>
  </si>
  <si>
    <t xml:space="preserve">Planned Risk (% equity)</t>
  </si>
  <si>
    <t xml:space="preserve">Actual Risk (% equity)</t>
  </si>
  <si>
    <t xml:space="preserve">Gross P/L (USD)</t>
  </si>
  <si>
    <t xml:space="preserve">Transaction Costs (USD)</t>
  </si>
  <si>
    <t xml:space="preserve">Net P/L (USD)</t>
  </si>
  <si>
    <t xml:space="preserve">Net Result (R)</t>
  </si>
  <si>
    <t xml:space="preserve">Outcome</t>
  </si>
  <si>
    <t xml:space="preserve">Planned Risk Exceeded</t>
  </si>
  <si>
    <t xml:space="preserve">Rule Violated</t>
  </si>
  <si>
    <t xml:space="preserve">Notes</t>
  </si>
  <si>
    <t xml:space="preserve">Exit Price</t>
  </si>
  <si>
    <t xml:space="preserve">Exit Type</t>
  </si>
  <si>
    <t xml:space="preserve">Exposure (USD per 1.0 price unit)</t>
  </si>
  <si>
    <t xml:space="preserve">Equity Before Trade (USD)</t>
  </si>
  <si>
    <t xml:space="preserve">Planned Risk 1R (USD)</t>
  </si>
  <si>
    <t xml:space="preserve">Rule ID(s)</t>
  </si>
  <si>
    <t xml:space="preserve">Cumulative R</t>
  </si>
  <si>
    <t xml:space="preserve">Peak R</t>
  </si>
  <si>
    <t xml:space="preserve">Drawdown (R)</t>
  </si>
  <si>
    <t xml:space="preserve">Equity After Trade (USD)</t>
  </si>
  <si>
    <t xml:space="preserve">Peak Equity (USD)</t>
  </si>
  <si>
    <t xml:space="preserve">Drawdown (% of peak equity)</t>
  </si>
  <si>
    <t xml:space="preserve">Win Streak</t>
  </si>
  <si>
    <t xml:space="preserve">Loss Streak</t>
  </si>
  <si>
    <t xml:space="preserve">T01</t>
  </si>
  <si>
    <t xml:space="preserve">USDJPY</t>
  </si>
  <si>
    <t xml:space="preserve">Asian</t>
  </si>
  <si>
    <t xml:space="preserve">Breakout</t>
  </si>
  <si>
    <t xml:space="preserve">Long</t>
  </si>
  <si>
    <t xml:space="preserve">No</t>
  </si>
  <si>
    <t xml:space="preserve">Plan followed</t>
  </si>
  <si>
    <t xml:space="preserve">Target hit</t>
  </si>
  <si>
    <t xml:space="preserve">T02</t>
  </si>
  <si>
    <t xml:space="preserve">BTCUSD</t>
  </si>
  <si>
    <t xml:space="preserve">London</t>
  </si>
  <si>
    <t xml:space="preserve">Trend Pullback</t>
  </si>
  <si>
    <t xml:space="preserve">Short</t>
  </si>
  <si>
    <t xml:space="preserve">Plan followed; stopped out</t>
  </si>
  <si>
    <t xml:space="preserve">Stop hit</t>
  </si>
  <si>
    <t xml:space="preserve">T03</t>
  </si>
  <si>
    <t xml:space="preserve">XAUUSD</t>
  </si>
  <si>
    <t xml:space="preserve">London/NY Overlap</t>
  </si>
  <si>
    <t xml:space="preserve">Discretionary Other</t>
  </si>
  <si>
    <t xml:space="preserve">T04</t>
  </si>
  <si>
    <t xml:space="preserve">EURUSD</t>
  </si>
  <si>
    <t xml:space="preserve">T05</t>
  </si>
  <si>
    <t xml:space="preserve">Yes</t>
  </si>
  <si>
    <t xml:space="preserve">Entered before confirmation candle closed; stopped out</t>
  </si>
  <si>
    <t xml:space="preserve">R3</t>
  </si>
  <si>
    <t xml:space="preserve">T06</t>
  </si>
  <si>
    <t xml:space="preserve">T07</t>
  </si>
  <si>
    <t xml:space="preserve">T08</t>
  </si>
  <si>
    <t xml:space="preserve">Closed manually well before target; no trail documented</t>
  </si>
  <si>
    <t xml:space="preserve">Manual early exit</t>
  </si>
  <si>
    <t xml:space="preserve">R4</t>
  </si>
  <si>
    <t xml:space="preserve">T09</t>
  </si>
  <si>
    <t xml:space="preserve">New York</t>
  </si>
  <si>
    <t xml:space="preserve">T10</t>
  </si>
  <si>
    <t xml:space="preserve">T11</t>
  </si>
  <si>
    <t xml:space="preserve">T12</t>
  </si>
  <si>
    <t xml:space="preserve">Unclear</t>
  </si>
  <si>
    <t xml:space="preserve">Journal does not say whether stop was moved; record incomplete</t>
  </si>
  <si>
    <t xml:space="preserve">R4?</t>
  </si>
  <si>
    <t xml:space="preserve">T13</t>
  </si>
  <si>
    <t xml:space="preserve">Range Reversal</t>
  </si>
  <si>
    <t xml:space="preserve">N/A</t>
  </si>
  <si>
    <t xml:space="preserve">Trailing stop (documented)</t>
  </si>
  <si>
    <t xml:space="preserve">T14</t>
  </si>
  <si>
    <t xml:space="preserve">Asian-session entry on non-JPY pair; gap through stop (slippage)</t>
  </si>
  <si>
    <t xml:space="preserve">Stop hit (slippage)</t>
  </si>
  <si>
    <t xml:space="preserve">R2</t>
  </si>
  <si>
    <t xml:space="preserve">T15</t>
  </si>
  <si>
    <t xml:space="preserve">T16</t>
  </si>
  <si>
    <t xml:space="preserve">T17</t>
  </si>
  <si>
    <t xml:space="preserve">T18</t>
  </si>
  <si>
    <t xml:space="preserve">GBPUSD</t>
  </si>
  <si>
    <t xml:space="preserve">T19</t>
  </si>
  <si>
    <t xml:space="preserve">Third trade of the day after two losses; position oversized</t>
  </si>
  <si>
    <t xml:space="preserve">R1, R5</t>
  </si>
  <si>
    <t xml:space="preserve">T20</t>
  </si>
  <si>
    <t xml:space="preserve">T21</t>
  </si>
  <si>
    <t xml:space="preserve">T22</t>
  </si>
  <si>
    <t xml:space="preserve">T23</t>
  </si>
  <si>
    <t xml:space="preserve">Manual early exit at small gain; no trail documented</t>
  </si>
  <si>
    <t xml:space="preserve">T24</t>
  </si>
  <si>
    <t xml:space="preserve">T25</t>
  </si>
  <si>
    <t xml:space="preserve">Size slightly above plan (within ±10% tolerance)</t>
  </si>
  <si>
    <t xml:space="preserve">T26</t>
  </si>
  <si>
    <t xml:space="preserve">Asian-session entry on non-JPY pair</t>
  </si>
  <si>
    <t xml:space="preserve">T27</t>
  </si>
  <si>
    <t xml:space="preserve">T28</t>
  </si>
  <si>
    <t xml:space="preserve">T29</t>
  </si>
  <si>
    <t xml:space="preserve">T30</t>
  </si>
  <si>
    <t xml:space="preserve">Entry without confirmation; trade still reached +1.8R</t>
  </si>
  <si>
    <t xml:space="preserve">T31</t>
  </si>
  <si>
    <t xml:space="preserve">T32</t>
  </si>
  <si>
    <t xml:space="preserve">T33</t>
  </si>
  <si>
    <t xml:space="preserve">Position size above plan by ~30%</t>
  </si>
  <si>
    <t xml:space="preserve">R1</t>
  </si>
  <si>
    <t xml:space="preserve">T34</t>
  </si>
  <si>
    <t xml:space="preserve">T35</t>
  </si>
  <si>
    <t xml:space="preserve">T36</t>
  </si>
  <si>
    <t xml:space="preserve">T37</t>
  </si>
  <si>
    <t xml:space="preserve">Exit screenshot missing; cannot confirm stop was untouched</t>
  </si>
  <si>
    <t xml:space="preserve">T38</t>
  </si>
  <si>
    <t xml:space="preserve">T39</t>
  </si>
  <si>
    <t xml:space="preserve">T40</t>
  </si>
  <si>
    <t xml:space="preserve">Live formulas on 'Trade Data'. Column C holds the value printed in the PDF; column D flags any disagreement.</t>
  </si>
  <si>
    <t xml:space="preserve">Metric</t>
  </si>
  <si>
    <t xml:space="preserve">Workbook value (formula)</t>
  </si>
  <si>
    <t xml:space="preserve">Value in PDF report</t>
  </si>
  <si>
    <t xml:space="preserve">Check</t>
  </si>
  <si>
    <t xml:space="preserve">Definition / formula</t>
  </si>
  <si>
    <t xml:space="preserve">BASIC PERFORMANCE</t>
  </si>
  <si>
    <t xml:space="preserve">Total trades</t>
  </si>
  <si>
    <t xml:space="preserve">Count of trade records</t>
  </si>
  <si>
    <t xml:space="preserve">Winning trades</t>
  </si>
  <si>
    <t xml:space="preserve">Net P/L (after costs) above zero</t>
  </si>
  <si>
    <t xml:space="preserve">Losing trades</t>
  </si>
  <si>
    <t xml:space="preserve">Net P/L below zero</t>
  </si>
  <si>
    <t xml:space="preserve">Win rate (%)</t>
  </si>
  <si>
    <t xml:space="preserve">Wins / Total trades x 100</t>
  </si>
  <si>
    <t xml:space="preserve">Profit on winners (R)</t>
  </si>
  <si>
    <t xml:space="preserve">Sum of net R on winning trades (the template's 'gross profit', after costs)</t>
  </si>
  <si>
    <t xml:space="preserve">Loss on losers (R)</t>
  </si>
  <si>
    <t xml:space="preserve">Sum of net R on losing trades</t>
  </si>
  <si>
    <t xml:space="preserve">Net result (R)</t>
  </si>
  <si>
    <t xml:space="preserve">Profit - |Loss|</t>
  </si>
  <si>
    <t xml:space="preserve">Profit on winners (USD)</t>
  </si>
  <si>
    <t xml:space="preserve">Sum of net USD on winners</t>
  </si>
  <si>
    <t xml:space="preserve">Loss on losers (USD)</t>
  </si>
  <si>
    <t xml:space="preserve">Sum of net USD on losers</t>
  </si>
  <si>
    <t xml:space="preserve">Net result (USD)</t>
  </si>
  <si>
    <t xml:space="preserve">Profit - |Loss|; equals sum of Net P/L column</t>
  </si>
  <si>
    <t xml:space="preserve">Pre-cost P/L (USD)</t>
  </si>
  <si>
    <t xml:space="preserve">Sum of gross P/L before costs</t>
  </si>
  <si>
    <t xml:space="preserve">Transaction costs (USD)</t>
  </si>
  <si>
    <t xml:space="preserve">Sum of round-turn spread costs</t>
  </si>
  <si>
    <t xml:space="preserve">Reconciliation: pre-cost - costs - net</t>
  </si>
  <si>
    <t xml:space="preserve">Must equal 0</t>
  </si>
  <si>
    <t xml:space="preserve">Average result per trade (R)</t>
  </si>
  <si>
    <t xml:space="preserve">Net R / Trades (expectancy)</t>
  </si>
  <si>
    <t xml:space="preserve">Average result per trade (USD)</t>
  </si>
  <si>
    <t xml:space="preserve">Net USD / Trades</t>
  </si>
  <si>
    <t xml:space="preserve">Average winning trade (R)</t>
  </si>
  <si>
    <t xml:space="preserve">Profit on winners / Wins</t>
  </si>
  <si>
    <t xml:space="preserve">Average losing trade (R)</t>
  </si>
  <si>
    <t xml:space="preserve">Loss on losers / Losses</t>
  </si>
  <si>
    <t xml:space="preserve">Largest winning trade (R)</t>
  </si>
  <si>
    <t xml:space="preserve">Maximum net R</t>
  </si>
  <si>
    <t xml:space="preserve">Largest losing trade (R)</t>
  </si>
  <si>
    <t xml:space="preserve">Minimum net R</t>
  </si>
  <si>
    <t xml:space="preserve">RISK AND REWARD</t>
  </si>
  <si>
    <t xml:space="preserve">Profit factor (R basis)</t>
  </si>
  <si>
    <t xml:space="preserve">Profit / |Loss| in R</t>
  </si>
  <si>
    <t xml:space="preserve">Profit factor (USD basis)</t>
  </si>
  <si>
    <t xml:space="preserve">Profit / |Loss| in USD</t>
  </si>
  <si>
    <t xml:space="preserve">Average win : average loss</t>
  </si>
  <si>
    <t xml:space="preserve">Avg winning trade / |Avg losing trade| (R)</t>
  </si>
  <si>
    <t xml:space="preserve">Expectancy per trade (R)</t>
  </si>
  <si>
    <t xml:space="preserve">Total net R / Number of trades</t>
  </si>
  <si>
    <t xml:space="preserve">Break-even win rate (%)</t>
  </si>
  <si>
    <t xml:space="preserve">1 / (1 + payoff ratio) x 100</t>
  </si>
  <si>
    <t xml:space="preserve">Standard deviation of trade R</t>
  </si>
  <si>
    <t xml:space="preserve">Sample standard deviation</t>
  </si>
  <si>
    <t xml:space="preserve">Standard error of expectancy (R)</t>
  </si>
  <si>
    <t xml:space="preserve">SD / sqrt(n)</t>
  </si>
  <si>
    <t xml:space="preserve">95% CI lower (R)</t>
  </si>
  <si>
    <t xml:space="preserve">Mean - t(0.975, n-1) x SE</t>
  </si>
  <si>
    <t xml:space="preserve">95% CI upper (R)</t>
  </si>
  <si>
    <t xml:space="preserve">Mean + t(0.975, n-1) x SE</t>
  </si>
  <si>
    <t xml:space="preserve">Maximum drawdown (R)</t>
  </si>
  <si>
    <t xml:space="preserve">Largest peak-to-trough decline in cumulative R (peak includes the starting 0)</t>
  </si>
  <si>
    <t xml:space="preserve">Maximum drawdown (USD)</t>
  </si>
  <si>
    <t xml:space="preserve">Largest decline of equity from its running peak</t>
  </si>
  <si>
    <t xml:space="preserve">Maximum drawdown (% of peak equity)</t>
  </si>
  <si>
    <t xml:space="preserve">Account-equity drawdown; NOT the same as drawdown in R</t>
  </si>
  <si>
    <t xml:space="preserve">Average planned risk (% equity)</t>
  </si>
  <si>
    <t xml:space="preserve">Mean planned risk</t>
  </si>
  <si>
    <t xml:space="preserve">Average actual risk (% equity)</t>
  </si>
  <si>
    <t xml:space="preserve">Mean actual risk</t>
  </si>
  <si>
    <t xml:space="preserve">Trades exceeding planned risk</t>
  </si>
  <si>
    <t xml:space="preserve">Actual risk % &gt; planned risk % (compared at 2 d.p.)</t>
  </si>
  <si>
    <t xml:space="preserve">  as % of all trades</t>
  </si>
  <si>
    <t xml:space="preserve">Exceeded / Total trades x 100</t>
  </si>
  <si>
    <t xml:space="preserve">Trades with documented rule violation</t>
  </si>
  <si>
    <t xml:space="preserve">Rule Violated = Yes</t>
  </si>
  <si>
    <t xml:space="preserve">Violations / Total trades x 100</t>
  </si>
  <si>
    <t xml:space="preserve">Unclear records</t>
  </si>
  <si>
    <t xml:space="preserve">Evidence missing; not counted as violation or compliant</t>
  </si>
  <si>
    <t xml:space="preserve">STREAKS AND EQUITY</t>
  </si>
  <si>
    <t xml:space="preserve">Longest winning streak</t>
  </si>
  <si>
    <t xml:space="preserve">Consecutive winning trades</t>
  </si>
  <si>
    <t xml:space="preserve">Longest losing streak</t>
  </si>
  <si>
    <t xml:space="preserve">Consecutive losing trades</t>
  </si>
  <si>
    <t xml:space="preserve">Final equity (USD)</t>
  </si>
  <si>
    <t xml:space="preserve">Starting equity + net result</t>
  </si>
  <si>
    <t xml:space="preserve">Note: the PDF prints values rounded to 2 decimals; column D tests agreement within 0.005.</t>
  </si>
  <si>
    <t xml:space="preserve">Segments are small (n &lt; 20 for most). Descriptive only; do not read as a ranking. Counts and sums are live formulas.</t>
  </si>
  <si>
    <t xml:space="preserve">By setup</t>
  </si>
  <si>
    <t xml:space="preserve">n</t>
  </si>
  <si>
    <t xml:space="preserve">Wins</t>
  </si>
  <si>
    <t xml:space="preserve">Net R</t>
  </si>
  <si>
    <t xml:space="preserve">Expectancy (R)</t>
  </si>
  <si>
    <t xml:space="preserve">Profit factor (R)</t>
  </si>
  <si>
    <t xml:space="preserve">Net USD</t>
  </si>
  <si>
    <t xml:space="preserve">Total</t>
  </si>
  <si>
    <t xml:space="preserve">By session</t>
  </si>
  <si>
    <t xml:space="preserve">By instrument</t>
  </si>
  <si>
    <t xml:space="preserve">By direction</t>
  </si>
  <si>
    <t xml:space="preserve">By rule status</t>
  </si>
  <si>
    <t xml:space="preserve">Rule status</t>
  </si>
  <si>
    <t xml:space="preserve">By planned-risk status</t>
  </si>
  <si>
    <t xml:space="preserve">Planned-risk status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</si>
</sst>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yyyy\-mm\-dd"/>
    <numFmt numFmtId="166" formatCode="0.000"/>
    <numFmt numFmtId="167" formatCode="0.00"/>
    <numFmt numFmtId="168" formatCode="#,##0.00;\-#,##0.00;0.00"/>
    <numFmt numFmtId="169" formatCode="\+0.000;\-0.000;0.000"/>
    <numFmt numFmtId="170" formatCode="#,##0.0000"/>
    <numFmt numFmtId="171" formatCode="0.0"/>
    <numFmt numFmtId="172" formatCode="0.00000"/>
    <numFmt numFmtId="173" formatCode="0"/>
    <numFmt numFmtId="174" formatCode="#,##0.00"/>
    <numFmt numFmtId="175" formatCode="\+0.00;\-0.00;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C55A11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9"/>
      <color rgb="FF444444"/>
      <name val="Arial"/>
      <family val="0"/>
      <charset val="1"/>
    </font>
    <font>
      <b val="true"/>
      <sz val="11"/>
      <color rgb="FF1F4E7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EF1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D1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1F4"/>
      <rgbColor rgb="FFCCFFFF"/>
      <rgbColor rgb="FF660066"/>
      <rgbColor rgb="FFFF8080"/>
      <rgbColor rgb="FF0066CC"/>
      <rgbColor rgb="FFC9D1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/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3"/>
    </row>
    <row r="21" customFormat="false" ht="15" hidden="false" customHeight="false" outlineLevel="0" collapsed="false">
      <c r="A21" s="2" t="s">
        <v>15</v>
      </c>
    </row>
    <row r="22" customFormat="false" ht="15" hidden="false" customHeight="false" outlineLevel="0" collapsed="false">
      <c r="A22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5" min="5" style="0" width="19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9" min="8" style="0" width="13"/>
    <col collapsed="false" customWidth="true" hidden="false" outlineLevel="0" max="11" min="10" style="0" width="11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2"/>
    <col collapsed="false" customWidth="true" hidden="false" outlineLevel="0" max="15" min="15" style="0" width="11"/>
    <col collapsed="false" customWidth="true" hidden="false" outlineLevel="0" max="16" min="16" style="0" width="10"/>
    <col collapsed="false" customWidth="true" hidden="false" outlineLevel="0" max="18" min="17" style="0" width="11"/>
    <col collapsed="false" customWidth="true" hidden="false" outlineLevel="0" max="19" min="19" style="0" width="58"/>
    <col collapsed="false" customWidth="true" hidden="false" outlineLevel="0" max="20" min="20" style="0" width="12"/>
    <col collapsed="false" customWidth="true" hidden="false" outlineLevel="0" max="21" min="21" style="0" width="25"/>
    <col collapsed="false" customWidth="true" hidden="false" outlineLevel="0" max="22" min="22" style="0" width="16"/>
    <col collapsed="false" customWidth="true" hidden="false" outlineLevel="0" max="23" min="23" style="0" width="15"/>
    <col collapsed="false" customWidth="true" hidden="false" outlineLevel="0" max="24" min="24" style="0" width="13"/>
    <col collapsed="false" customWidth="true" hidden="false" outlineLevel="0" max="25" min="25" style="0" width="10"/>
    <col collapsed="false" customWidth="true" hidden="false" outlineLevel="0" max="26" min="26" style="0" width="11"/>
    <col collapsed="false" customWidth="true" hidden="false" outlineLevel="0" max="27" min="27" style="0" width="9"/>
    <col collapsed="false" customWidth="true" hidden="false" outlineLevel="0" max="28" min="28" style="0" width="11"/>
    <col collapsed="false" customWidth="true" hidden="false" outlineLevel="0" max="29" min="29" style="0" width="14"/>
    <col collapsed="false" customWidth="true" hidden="false" outlineLevel="0" max="31" min="30" style="0" width="13"/>
    <col collapsed="false" customWidth="true" hidden="false" outlineLevel="0" max="33" min="32" style="0" width="8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4" t="s">
        <v>17</v>
      </c>
    </row>
    <row r="3" customFormat="false" ht="43.5" hidden="false" customHeight="true" outlineLevel="0" collapsed="false">
      <c r="A3" s="5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25</v>
      </c>
      <c r="I3" s="5" t="s">
        <v>26</v>
      </c>
      <c r="J3" s="5" t="s">
        <v>27</v>
      </c>
      <c r="K3" s="5" t="s">
        <v>28</v>
      </c>
      <c r="L3" s="5" t="s">
        <v>29</v>
      </c>
      <c r="M3" s="5" t="s">
        <v>30</v>
      </c>
      <c r="N3" s="5" t="s">
        <v>31</v>
      </c>
      <c r="O3" s="5" t="s">
        <v>32</v>
      </c>
      <c r="P3" s="5" t="s">
        <v>33</v>
      </c>
      <c r="Q3" s="5" t="s">
        <v>34</v>
      </c>
      <c r="R3" s="5" t="s">
        <v>35</v>
      </c>
      <c r="S3" s="5" t="s">
        <v>36</v>
      </c>
      <c r="T3" s="5" t="s">
        <v>37</v>
      </c>
      <c r="U3" s="5" t="s">
        <v>38</v>
      </c>
      <c r="V3" s="5" t="s">
        <v>39</v>
      </c>
      <c r="W3" s="5" t="s">
        <v>40</v>
      </c>
      <c r="X3" s="5" t="s">
        <v>41</v>
      </c>
      <c r="Y3" s="5" t="s">
        <v>42</v>
      </c>
      <c r="Z3" s="5" t="s">
        <v>43</v>
      </c>
      <c r="AA3" s="5" t="s">
        <v>44</v>
      </c>
      <c r="AB3" s="5" t="s">
        <v>45</v>
      </c>
      <c r="AC3" s="5" t="s">
        <v>46</v>
      </c>
      <c r="AD3" s="5" t="s">
        <v>47</v>
      </c>
      <c r="AE3" s="5" t="s">
        <v>48</v>
      </c>
      <c r="AF3" s="5" t="s">
        <v>49</v>
      </c>
      <c r="AG3" s="5" t="s">
        <v>50</v>
      </c>
    </row>
    <row r="4" customFormat="false" ht="15" hidden="false" customHeight="false" outlineLevel="0" collapsed="false">
      <c r="A4" s="6" t="s">
        <v>51</v>
      </c>
      <c r="B4" s="7" t="n">
        <v>46083</v>
      </c>
      <c r="C4" s="6" t="s">
        <v>52</v>
      </c>
      <c r="D4" s="6" t="s">
        <v>53</v>
      </c>
      <c r="E4" s="6" t="s">
        <v>54</v>
      </c>
      <c r="F4" s="6" t="s">
        <v>55</v>
      </c>
      <c r="G4" s="8" t="n">
        <v>147.563</v>
      </c>
      <c r="H4" s="8" t="n">
        <v>147.109</v>
      </c>
      <c r="I4" s="8" t="n">
        <v>148.471</v>
      </c>
      <c r="J4" s="9" t="n">
        <v>1</v>
      </c>
      <c r="K4" s="10" t="n">
        <f aca="false">V4*ABS(G4-H4)/W4*100</f>
        <v>0.999980399999955</v>
      </c>
      <c r="L4" s="11" t="n">
        <f aca="false">ROUND(V4*IF(F4="Long",1,-1)*(T4-G4),2)</f>
        <v>200</v>
      </c>
      <c r="M4" s="12" t="n">
        <v>2.2</v>
      </c>
      <c r="N4" s="11" t="n">
        <f aca="false">ROUND(L4-M4,2)</f>
        <v>197.8</v>
      </c>
      <c r="O4" s="13" t="n">
        <f aca="false">N4/X4</f>
        <v>1.978</v>
      </c>
      <c r="P4" s="14" t="str">
        <f aca="false">IF(N4&gt;0,"Win",IF(N4&lt;0,"Loss","Breakeven"))</f>
        <v>Win</v>
      </c>
      <c r="Q4" s="14" t="str">
        <f aca="false">IF(ROUND(K4,2)&gt;ROUND(J4,2),"Yes","No")</f>
        <v>No</v>
      </c>
      <c r="R4" s="6" t="s">
        <v>56</v>
      </c>
      <c r="S4" s="6" t="s">
        <v>57</v>
      </c>
      <c r="T4" s="8" t="n">
        <v>148.471</v>
      </c>
      <c r="U4" s="6" t="s">
        <v>58</v>
      </c>
      <c r="V4" s="15" t="n">
        <v>220.26</v>
      </c>
      <c r="W4" s="12" t="n">
        <v>10000</v>
      </c>
      <c r="X4" s="11" t="n">
        <f aca="false">ROUND(W4*J4/100,2)</f>
        <v>100</v>
      </c>
      <c r="Y4" s="6"/>
      <c r="Z4" s="13" t="n">
        <f aca="false">O4</f>
        <v>1.978</v>
      </c>
      <c r="AA4" s="13" t="n">
        <f aca="false">MAX(0,Z4)</f>
        <v>1.978</v>
      </c>
      <c r="AB4" s="13" t="n">
        <f aca="false">Z4-AA4</f>
        <v>0</v>
      </c>
      <c r="AC4" s="11" t="n">
        <f aca="false">ROUND(W4+N4,2)</f>
        <v>10197.8</v>
      </c>
      <c r="AD4" s="11" t="n">
        <f aca="false">MAX($W$4,AC4)</f>
        <v>10197.8</v>
      </c>
      <c r="AE4" s="16" t="n">
        <f aca="false">(AC4-AD4)/AD4*100</f>
        <v>0</v>
      </c>
      <c r="AF4" s="14" t="n">
        <f aca="false">IF(O4&gt;0,1,0)</f>
        <v>1</v>
      </c>
      <c r="AG4" s="14" t="n">
        <f aca="false">IF(O4&lt;0,1,0)</f>
        <v>0</v>
      </c>
    </row>
    <row r="5" customFormat="false" ht="15" hidden="false" customHeight="false" outlineLevel="0" collapsed="false">
      <c r="A5" s="6" t="s">
        <v>59</v>
      </c>
      <c r="B5" s="7" t="n">
        <v>46084</v>
      </c>
      <c r="C5" s="6" t="s">
        <v>60</v>
      </c>
      <c r="D5" s="6" t="s">
        <v>61</v>
      </c>
      <c r="E5" s="6" t="s">
        <v>62</v>
      </c>
      <c r="F5" s="6" t="s">
        <v>63</v>
      </c>
      <c r="G5" s="17" t="n">
        <v>66051.4</v>
      </c>
      <c r="H5" s="17" t="n">
        <v>67074.6</v>
      </c>
      <c r="I5" s="17" t="n">
        <v>64005</v>
      </c>
      <c r="J5" s="9" t="n">
        <v>0.5</v>
      </c>
      <c r="K5" s="10" t="n">
        <f aca="false">V5*ABS(G5-H5)/W5*100</f>
        <v>0.499670124928912</v>
      </c>
      <c r="L5" s="11" t="n">
        <f aca="false">ROUND(V5*IF(F5="Long",1,-1)*(T5-G5),2)</f>
        <v>-50.96</v>
      </c>
      <c r="M5" s="12" t="n">
        <v>0.75</v>
      </c>
      <c r="N5" s="11" t="n">
        <f aca="false">ROUND(L5-M5,2)</f>
        <v>-51.71</v>
      </c>
      <c r="O5" s="13" t="n">
        <f aca="false">N5/X5</f>
        <v>-1.0141204157678</v>
      </c>
      <c r="P5" s="14" t="str">
        <f aca="false">IF(N5&gt;0,"Win",IF(N5&lt;0,"Loss","Breakeven"))</f>
        <v>Loss</v>
      </c>
      <c r="Q5" s="14" t="str">
        <f aca="false">IF(ROUND(K5,2)&gt;ROUND(J5,2),"Yes","No")</f>
        <v>No</v>
      </c>
      <c r="R5" s="6" t="s">
        <v>56</v>
      </c>
      <c r="S5" s="6" t="s">
        <v>64</v>
      </c>
      <c r="T5" s="17" t="n">
        <v>67074.6</v>
      </c>
      <c r="U5" s="6" t="s">
        <v>65</v>
      </c>
      <c r="V5" s="15" t="n">
        <v>0.0498</v>
      </c>
      <c r="W5" s="11" t="n">
        <f aca="false">ROUND(W4+N4,2)</f>
        <v>10197.8</v>
      </c>
      <c r="X5" s="11" t="n">
        <f aca="false">ROUND(W5*J5/100,2)</f>
        <v>50.99</v>
      </c>
      <c r="Y5" s="6"/>
      <c r="Z5" s="13" t="n">
        <f aca="false">Z4+O5</f>
        <v>0.963879584232203</v>
      </c>
      <c r="AA5" s="13" t="n">
        <f aca="false">MAX(AA4,Z5)</f>
        <v>1.978</v>
      </c>
      <c r="AB5" s="13" t="n">
        <f aca="false">Z5-AA5</f>
        <v>-1.0141204157678</v>
      </c>
      <c r="AC5" s="11" t="n">
        <f aca="false">ROUND(W5+N5,2)</f>
        <v>10146.09</v>
      </c>
      <c r="AD5" s="11" t="n">
        <f aca="false">MAX(AD4,AC5)</f>
        <v>10197.8</v>
      </c>
      <c r="AE5" s="16" t="n">
        <f aca="false">(AC5-AD5)/AD5*100</f>
        <v>-0.5070701523858</v>
      </c>
      <c r="AF5" s="14" t="n">
        <f aca="false">IF(O5&gt;0,AF4+1,0)</f>
        <v>0</v>
      </c>
      <c r="AG5" s="14" t="n">
        <f aca="false">IF(O5&lt;0,AG4+1,0)</f>
        <v>1</v>
      </c>
    </row>
    <row r="6" customFormat="false" ht="15" hidden="false" customHeight="false" outlineLevel="0" collapsed="false">
      <c r="A6" s="6" t="s">
        <v>66</v>
      </c>
      <c r="B6" s="7" t="n">
        <v>46084</v>
      </c>
      <c r="C6" s="6" t="s">
        <v>67</v>
      </c>
      <c r="D6" s="6" t="s">
        <v>68</v>
      </c>
      <c r="E6" s="6" t="s">
        <v>69</v>
      </c>
      <c r="F6" s="6" t="s">
        <v>63</v>
      </c>
      <c r="G6" s="9" t="n">
        <v>2658.16</v>
      </c>
      <c r="H6" s="9" t="n">
        <v>2669.47</v>
      </c>
      <c r="I6" s="9" t="n">
        <v>2635.54</v>
      </c>
      <c r="J6" s="9" t="n">
        <v>1</v>
      </c>
      <c r="K6" s="10" t="n">
        <f aca="false">V6*ABS(G6-H6)/W6*100</f>
        <v>0.999899468662308</v>
      </c>
      <c r="L6" s="11" t="n">
        <f aca="false">ROUND(V6*IF(F6="Long",1,-1)*(T6-G6),2)</f>
        <v>-101.45</v>
      </c>
      <c r="M6" s="12" t="n">
        <v>2.24</v>
      </c>
      <c r="N6" s="11" t="n">
        <f aca="false">ROUND(L6-M6,2)</f>
        <v>-103.69</v>
      </c>
      <c r="O6" s="13" t="n">
        <f aca="false">N6/X6</f>
        <v>-1.02197910506604</v>
      </c>
      <c r="P6" s="14" t="str">
        <f aca="false">IF(N6&gt;0,"Win",IF(N6&lt;0,"Loss","Breakeven"))</f>
        <v>Loss</v>
      </c>
      <c r="Q6" s="14" t="str">
        <f aca="false">IF(ROUND(K6,2)&gt;ROUND(J6,2),"Yes","No")</f>
        <v>No</v>
      </c>
      <c r="R6" s="6" t="s">
        <v>56</v>
      </c>
      <c r="S6" s="6" t="s">
        <v>64</v>
      </c>
      <c r="T6" s="9" t="n">
        <v>2669.47</v>
      </c>
      <c r="U6" s="6" t="s">
        <v>65</v>
      </c>
      <c r="V6" s="15" t="n">
        <v>8.97</v>
      </c>
      <c r="W6" s="11" t="n">
        <f aca="false">ROUND(W5+N5,2)</f>
        <v>10146.09</v>
      </c>
      <c r="X6" s="11" t="n">
        <f aca="false">ROUND(W6*J6/100,2)</f>
        <v>101.46</v>
      </c>
      <c r="Y6" s="6"/>
      <c r="Z6" s="13" t="n">
        <f aca="false">Z5+O6</f>
        <v>-0.0580995208338333</v>
      </c>
      <c r="AA6" s="13" t="n">
        <f aca="false">MAX(AA5,Z6)</f>
        <v>1.978</v>
      </c>
      <c r="AB6" s="13" t="n">
        <f aca="false">Z6-AA6</f>
        <v>-2.03609952083383</v>
      </c>
      <c r="AC6" s="11" t="n">
        <f aca="false">ROUND(W6+N6,2)</f>
        <v>10042.4</v>
      </c>
      <c r="AD6" s="11" t="n">
        <f aca="false">MAX(AD5,AC6)</f>
        <v>10197.8</v>
      </c>
      <c r="AE6" s="16" t="n">
        <f aca="false">(AC6-AD6)/AD6*100</f>
        <v>-1.52385808703838</v>
      </c>
      <c r="AF6" s="14" t="n">
        <f aca="false">IF(O6&gt;0,AF5+1,0)</f>
        <v>0</v>
      </c>
      <c r="AG6" s="14" t="n">
        <f aca="false">IF(O6&lt;0,AG5+1,0)</f>
        <v>2</v>
      </c>
    </row>
    <row r="7" customFormat="false" ht="15" hidden="false" customHeight="false" outlineLevel="0" collapsed="false">
      <c r="A7" s="6" t="s">
        <v>70</v>
      </c>
      <c r="B7" s="7" t="n">
        <v>46085</v>
      </c>
      <c r="C7" s="6" t="s">
        <v>71</v>
      </c>
      <c r="D7" s="6" t="s">
        <v>68</v>
      </c>
      <c r="E7" s="6" t="s">
        <v>62</v>
      </c>
      <c r="F7" s="6" t="s">
        <v>55</v>
      </c>
      <c r="G7" s="18" t="n">
        <v>1.07544</v>
      </c>
      <c r="H7" s="18" t="n">
        <v>1.07315</v>
      </c>
      <c r="I7" s="18" t="n">
        <v>1.0791</v>
      </c>
      <c r="J7" s="9" t="n">
        <v>1</v>
      </c>
      <c r="K7" s="10" t="n">
        <f aca="false">V7*ABS(G7-H7)/W7*100</f>
        <v>0.999959977694533</v>
      </c>
      <c r="L7" s="11" t="n">
        <f aca="false">ROUND(V7*IF(F7="Long",1,-1)*(T7-G7),2)</f>
        <v>160.5</v>
      </c>
      <c r="M7" s="12" t="n">
        <v>3.51</v>
      </c>
      <c r="N7" s="11" t="n">
        <f aca="false">ROUND(L7-M7,2)</f>
        <v>156.99</v>
      </c>
      <c r="O7" s="13" t="n">
        <f aca="false">N7/X7</f>
        <v>1.56333399721171</v>
      </c>
      <c r="P7" s="14" t="str">
        <f aca="false">IF(N7&gt;0,"Win",IF(N7&lt;0,"Loss","Breakeven"))</f>
        <v>Win</v>
      </c>
      <c r="Q7" s="14" t="str">
        <f aca="false">IF(ROUND(K7,2)&gt;ROUND(J7,2),"Yes","No")</f>
        <v>No</v>
      </c>
      <c r="R7" s="6" t="s">
        <v>56</v>
      </c>
      <c r="S7" s="6" t="s">
        <v>57</v>
      </c>
      <c r="T7" s="18" t="n">
        <v>1.0791</v>
      </c>
      <c r="U7" s="6" t="s">
        <v>58</v>
      </c>
      <c r="V7" s="15" t="n">
        <v>43851.52</v>
      </c>
      <c r="W7" s="11" t="n">
        <f aca="false">ROUND(W6+N6,2)</f>
        <v>10042.4</v>
      </c>
      <c r="X7" s="11" t="n">
        <f aca="false">ROUND(W7*J7/100,2)</f>
        <v>100.42</v>
      </c>
      <c r="Y7" s="6"/>
      <c r="Z7" s="13" t="n">
        <f aca="false">Z6+O7</f>
        <v>1.50523447637788</v>
      </c>
      <c r="AA7" s="13" t="n">
        <f aca="false">MAX(AA6,Z7)</f>
        <v>1.978</v>
      </c>
      <c r="AB7" s="13" t="n">
        <f aca="false">Z7-AA7</f>
        <v>-0.472765523622123</v>
      </c>
      <c r="AC7" s="11" t="n">
        <f aca="false">ROUND(W7+N7,2)</f>
        <v>10199.39</v>
      </c>
      <c r="AD7" s="11" t="n">
        <f aca="false">MAX(AD6,AC7)</f>
        <v>10199.39</v>
      </c>
      <c r="AE7" s="16" t="n">
        <f aca="false">(AC7-AD7)/AD7*100</f>
        <v>0</v>
      </c>
      <c r="AF7" s="14" t="n">
        <f aca="false">IF(O7&gt;0,AF6+1,0)</f>
        <v>1</v>
      </c>
      <c r="AG7" s="14" t="n">
        <f aca="false">IF(O7&lt;0,AG6+1,0)</f>
        <v>0</v>
      </c>
    </row>
    <row r="8" customFormat="false" ht="15" hidden="false" customHeight="false" outlineLevel="0" collapsed="false">
      <c r="A8" s="6" t="s">
        <v>72</v>
      </c>
      <c r="B8" s="7" t="n">
        <v>46087</v>
      </c>
      <c r="C8" s="6" t="s">
        <v>71</v>
      </c>
      <c r="D8" s="6" t="s">
        <v>68</v>
      </c>
      <c r="E8" s="6" t="s">
        <v>62</v>
      </c>
      <c r="F8" s="6" t="s">
        <v>63</v>
      </c>
      <c r="G8" s="18" t="n">
        <v>1.08123</v>
      </c>
      <c r="H8" s="18" t="n">
        <v>1.08412</v>
      </c>
      <c r="I8" s="18" t="n">
        <v>1.074</v>
      </c>
      <c r="J8" s="9" t="n">
        <v>1</v>
      </c>
      <c r="K8" s="10" t="n">
        <f aca="false">V8*ABS(G8-H8)/W8*100</f>
        <v>0.999961551622225</v>
      </c>
      <c r="L8" s="11" t="n">
        <f aca="false">ROUND(V8*IF(F8="Long",1,-1)*(T8-G8),2)</f>
        <v>-101.99</v>
      </c>
      <c r="M8" s="12" t="n">
        <v>2.82</v>
      </c>
      <c r="N8" s="11" t="n">
        <f aca="false">ROUND(L8-M8,2)</f>
        <v>-104.81</v>
      </c>
      <c r="O8" s="13" t="n">
        <f aca="false">N8/X8</f>
        <v>-1.02764976958525</v>
      </c>
      <c r="P8" s="14" t="str">
        <f aca="false">IF(N8&gt;0,"Win",IF(N8&lt;0,"Loss","Breakeven"))</f>
        <v>Loss</v>
      </c>
      <c r="Q8" s="14" t="str">
        <f aca="false">IF(ROUND(K8,2)&gt;ROUND(J8,2),"Yes","No")</f>
        <v>No</v>
      </c>
      <c r="R8" s="6" t="s">
        <v>73</v>
      </c>
      <c r="S8" s="6" t="s">
        <v>74</v>
      </c>
      <c r="T8" s="18" t="n">
        <v>1.08412</v>
      </c>
      <c r="U8" s="6" t="s">
        <v>65</v>
      </c>
      <c r="V8" s="15" t="n">
        <v>35290.65</v>
      </c>
      <c r="W8" s="11" t="n">
        <f aca="false">ROUND(W7+N7,2)</f>
        <v>10199.39</v>
      </c>
      <c r="X8" s="11" t="n">
        <f aca="false">ROUND(W8*J8/100,2)</f>
        <v>101.99</v>
      </c>
      <c r="Y8" s="6" t="s">
        <v>75</v>
      </c>
      <c r="Z8" s="13" t="n">
        <f aca="false">Z7+O8</f>
        <v>0.477584706792624</v>
      </c>
      <c r="AA8" s="13" t="n">
        <f aca="false">MAX(AA7,Z8)</f>
        <v>1.978</v>
      </c>
      <c r="AB8" s="13" t="n">
        <f aca="false">Z8-AA8</f>
        <v>-1.50041529320738</v>
      </c>
      <c r="AC8" s="11" t="n">
        <f aca="false">ROUND(W8+N8,2)</f>
        <v>10094.58</v>
      </c>
      <c r="AD8" s="11" t="n">
        <f aca="false">MAX(AD7,AC8)</f>
        <v>10199.39</v>
      </c>
      <c r="AE8" s="16" t="n">
        <f aca="false">(AC8-AD8)/AD8*100</f>
        <v>-1.02761047474407</v>
      </c>
      <c r="AF8" s="14" t="n">
        <f aca="false">IF(O8&gt;0,AF7+1,0)</f>
        <v>0</v>
      </c>
      <c r="AG8" s="14" t="n">
        <f aca="false">IF(O8&lt;0,AG7+1,0)</f>
        <v>1</v>
      </c>
    </row>
    <row r="9" customFormat="false" ht="15" hidden="false" customHeight="false" outlineLevel="0" collapsed="false">
      <c r="A9" s="6" t="s">
        <v>76</v>
      </c>
      <c r="B9" s="7" t="n">
        <v>46090</v>
      </c>
      <c r="C9" s="6" t="s">
        <v>71</v>
      </c>
      <c r="D9" s="6" t="s">
        <v>68</v>
      </c>
      <c r="E9" s="6" t="s">
        <v>62</v>
      </c>
      <c r="F9" s="6" t="s">
        <v>63</v>
      </c>
      <c r="G9" s="18" t="n">
        <v>1.085</v>
      </c>
      <c r="H9" s="18" t="n">
        <v>1.08799</v>
      </c>
      <c r="I9" s="18" t="n">
        <v>1.08051</v>
      </c>
      <c r="J9" s="9" t="n">
        <v>1</v>
      </c>
      <c r="K9" s="10" t="n">
        <f aca="false">V9*ABS(G9-H9)/W9*100</f>
        <v>1.00004155299182</v>
      </c>
      <c r="L9" s="11" t="n">
        <f aca="false">ROUND(V9*IF(F9="Long",1,-1)*(T9-G9),2)</f>
        <v>151.59</v>
      </c>
      <c r="M9" s="12" t="n">
        <v>2.7</v>
      </c>
      <c r="N9" s="11" t="n">
        <f aca="false">ROUND(L9-M9,2)</f>
        <v>148.89</v>
      </c>
      <c r="O9" s="13" t="n">
        <f aca="false">N9/X9</f>
        <v>1.47488855869242</v>
      </c>
      <c r="P9" s="14" t="str">
        <f aca="false">IF(N9&gt;0,"Win",IF(N9&lt;0,"Loss","Breakeven"))</f>
        <v>Win</v>
      </c>
      <c r="Q9" s="14" t="str">
        <f aca="false">IF(ROUND(K9,2)&gt;ROUND(J9,2),"Yes","No")</f>
        <v>No</v>
      </c>
      <c r="R9" s="6" t="s">
        <v>56</v>
      </c>
      <c r="S9" s="6" t="s">
        <v>57</v>
      </c>
      <c r="T9" s="18" t="n">
        <v>1.08051</v>
      </c>
      <c r="U9" s="6" t="s">
        <v>58</v>
      </c>
      <c r="V9" s="15" t="n">
        <v>33762.54</v>
      </c>
      <c r="W9" s="11" t="n">
        <f aca="false">ROUND(W8+N8,2)</f>
        <v>10094.58</v>
      </c>
      <c r="X9" s="11" t="n">
        <f aca="false">ROUND(W9*J9/100,2)</f>
        <v>100.95</v>
      </c>
      <c r="Y9" s="6"/>
      <c r="Z9" s="13" t="n">
        <f aca="false">Z8+O9</f>
        <v>1.95247326548505</v>
      </c>
      <c r="AA9" s="13" t="n">
        <f aca="false">MAX(AA8,Z9)</f>
        <v>1.978</v>
      </c>
      <c r="AB9" s="13" t="n">
        <f aca="false">Z9-AA9</f>
        <v>-0.0255267345149544</v>
      </c>
      <c r="AC9" s="11" t="n">
        <f aca="false">ROUND(W9+N9,2)</f>
        <v>10243.47</v>
      </c>
      <c r="AD9" s="11" t="n">
        <f aca="false">MAX(AD8,AC9)</f>
        <v>10243.47</v>
      </c>
      <c r="AE9" s="16" t="n">
        <f aca="false">(AC9-AD9)/AD9*100</f>
        <v>0</v>
      </c>
      <c r="AF9" s="14" t="n">
        <f aca="false">IF(O9&gt;0,AF8+1,0)</f>
        <v>1</v>
      </c>
      <c r="AG9" s="14" t="n">
        <f aca="false">IF(O9&lt;0,AG8+1,0)</f>
        <v>0</v>
      </c>
    </row>
    <row r="10" customFormat="false" ht="15" hidden="false" customHeight="false" outlineLevel="0" collapsed="false">
      <c r="A10" s="6" t="s">
        <v>77</v>
      </c>
      <c r="B10" s="7" t="n">
        <v>46091</v>
      </c>
      <c r="C10" s="6" t="s">
        <v>52</v>
      </c>
      <c r="D10" s="6" t="s">
        <v>68</v>
      </c>
      <c r="E10" s="6" t="s">
        <v>54</v>
      </c>
      <c r="F10" s="6" t="s">
        <v>55</v>
      </c>
      <c r="G10" s="8" t="n">
        <v>149.117</v>
      </c>
      <c r="H10" s="8" t="n">
        <v>148.722</v>
      </c>
      <c r="I10" s="8" t="n">
        <v>150.105</v>
      </c>
      <c r="J10" s="9" t="n">
        <v>1</v>
      </c>
      <c r="K10" s="10" t="n">
        <f aca="false">V10*ABS(G10-H10)/W10*100</f>
        <v>0.999929223202638</v>
      </c>
      <c r="L10" s="11" t="n">
        <f aca="false">ROUND(V10*IF(F10="Long",1,-1)*(T10-G10),2)</f>
        <v>-102.43</v>
      </c>
      <c r="M10" s="12" t="n">
        <v>2.59</v>
      </c>
      <c r="N10" s="11" t="n">
        <f aca="false">ROUND(L10-M10,2)</f>
        <v>-105.02</v>
      </c>
      <c r="O10" s="13" t="n">
        <f aca="false">N10/X10</f>
        <v>-1.02528556087084</v>
      </c>
      <c r="P10" s="14" t="str">
        <f aca="false">IF(N10&gt;0,"Win",IF(N10&lt;0,"Loss","Breakeven"))</f>
        <v>Loss</v>
      </c>
      <c r="Q10" s="14" t="str">
        <f aca="false">IF(ROUND(K10,2)&gt;ROUND(J10,2),"Yes","No")</f>
        <v>No</v>
      </c>
      <c r="R10" s="6" t="s">
        <v>56</v>
      </c>
      <c r="S10" s="6" t="s">
        <v>64</v>
      </c>
      <c r="T10" s="8" t="n">
        <v>148.722</v>
      </c>
      <c r="U10" s="6" t="s">
        <v>65</v>
      </c>
      <c r="V10" s="15" t="n">
        <v>259.31</v>
      </c>
      <c r="W10" s="11" t="n">
        <f aca="false">ROUND(W9+N9,2)</f>
        <v>10243.47</v>
      </c>
      <c r="X10" s="11" t="n">
        <f aca="false">ROUND(W10*J10/100,2)</f>
        <v>102.43</v>
      </c>
      <c r="Y10" s="6"/>
      <c r="Z10" s="13" t="n">
        <f aca="false">Z9+O10</f>
        <v>0.927187704614207</v>
      </c>
      <c r="AA10" s="13" t="n">
        <f aca="false">MAX(AA9,Z10)</f>
        <v>1.978</v>
      </c>
      <c r="AB10" s="13" t="n">
        <f aca="false">Z10-AA10</f>
        <v>-1.05081229538579</v>
      </c>
      <c r="AC10" s="11" t="n">
        <f aca="false">ROUND(W10+N10,2)</f>
        <v>10138.45</v>
      </c>
      <c r="AD10" s="11" t="n">
        <f aca="false">MAX(AD9,AC10)</f>
        <v>10243.47</v>
      </c>
      <c r="AE10" s="16" t="n">
        <f aca="false">(AC10-AD10)/AD10*100</f>
        <v>-1.02523851780694</v>
      </c>
      <c r="AF10" s="14" t="n">
        <f aca="false">IF(O10&gt;0,AF9+1,0)</f>
        <v>0</v>
      </c>
      <c r="AG10" s="14" t="n">
        <f aca="false">IF(O10&lt;0,AG9+1,0)</f>
        <v>1</v>
      </c>
    </row>
    <row r="11" customFormat="false" ht="15" hidden="false" customHeight="false" outlineLevel="0" collapsed="false">
      <c r="A11" s="6" t="s">
        <v>78</v>
      </c>
      <c r="B11" s="7" t="n">
        <v>46092</v>
      </c>
      <c r="C11" s="6" t="s">
        <v>71</v>
      </c>
      <c r="D11" s="6" t="s">
        <v>68</v>
      </c>
      <c r="E11" s="6" t="s">
        <v>62</v>
      </c>
      <c r="F11" s="6" t="s">
        <v>55</v>
      </c>
      <c r="G11" s="18" t="n">
        <v>1.08637</v>
      </c>
      <c r="H11" s="18" t="n">
        <v>1.08421</v>
      </c>
      <c r="I11" s="18" t="n">
        <v>1.09069</v>
      </c>
      <c r="J11" s="9" t="n">
        <v>1</v>
      </c>
      <c r="K11" s="10" t="n">
        <f aca="false">V11*ABS(G11-H11)/W11*100</f>
        <v>0.999955504046551</v>
      </c>
      <c r="L11" s="11" t="n">
        <f aca="false">ROUND(V11*IF(F11="Long",1,-1)*(T11-G11),2)</f>
        <v>81.2</v>
      </c>
      <c r="M11" s="12" t="n">
        <v>3.75</v>
      </c>
      <c r="N11" s="11" t="n">
        <f aca="false">ROUND(L11-M11,2)</f>
        <v>77.45</v>
      </c>
      <c r="O11" s="13" t="n">
        <f aca="false">N11/X11</f>
        <v>0.763957388044979</v>
      </c>
      <c r="P11" s="14" t="str">
        <f aca="false">IF(N11&gt;0,"Win",IF(N11&lt;0,"Loss","Breakeven"))</f>
        <v>Win</v>
      </c>
      <c r="Q11" s="14" t="str">
        <f aca="false">IF(ROUND(K11,2)&gt;ROUND(J11,2),"Yes","No")</f>
        <v>No</v>
      </c>
      <c r="R11" s="6" t="s">
        <v>73</v>
      </c>
      <c r="S11" s="6" t="s">
        <v>79</v>
      </c>
      <c r="T11" s="18" t="n">
        <v>1.0881</v>
      </c>
      <c r="U11" s="6" t="s">
        <v>80</v>
      </c>
      <c r="V11" s="15" t="n">
        <v>46935.18</v>
      </c>
      <c r="W11" s="11" t="n">
        <f aca="false">ROUND(W10+N10,2)</f>
        <v>10138.45</v>
      </c>
      <c r="X11" s="11" t="n">
        <f aca="false">ROUND(W11*J11/100,2)</f>
        <v>101.38</v>
      </c>
      <c r="Y11" s="6" t="s">
        <v>81</v>
      </c>
      <c r="Z11" s="13" t="n">
        <f aca="false">Z10+O11</f>
        <v>1.69114509265919</v>
      </c>
      <c r="AA11" s="13" t="n">
        <f aca="false">MAX(AA10,Z11)</f>
        <v>1.978</v>
      </c>
      <c r="AB11" s="13" t="n">
        <f aca="false">Z11-AA11</f>
        <v>-0.286854907340814</v>
      </c>
      <c r="AC11" s="11" t="n">
        <f aca="false">ROUND(W11+N11,2)</f>
        <v>10215.9</v>
      </c>
      <c r="AD11" s="11" t="n">
        <f aca="false">MAX(AD10,AC11)</f>
        <v>10243.47</v>
      </c>
      <c r="AE11" s="16" t="n">
        <f aca="false">(AC11-AD11)/AD11*100</f>
        <v>-0.269147076137283</v>
      </c>
      <c r="AF11" s="14" t="n">
        <f aca="false">IF(O11&gt;0,AF10+1,0)</f>
        <v>1</v>
      </c>
      <c r="AG11" s="14" t="n">
        <f aca="false">IF(O11&lt;0,AG10+1,0)</f>
        <v>0</v>
      </c>
    </row>
    <row r="12" customFormat="false" ht="15" hidden="false" customHeight="false" outlineLevel="0" collapsed="false">
      <c r="A12" s="6" t="s">
        <v>82</v>
      </c>
      <c r="B12" s="7" t="n">
        <v>46093</v>
      </c>
      <c r="C12" s="6" t="s">
        <v>67</v>
      </c>
      <c r="D12" s="6" t="s">
        <v>83</v>
      </c>
      <c r="E12" s="6" t="s">
        <v>54</v>
      </c>
      <c r="F12" s="6" t="s">
        <v>55</v>
      </c>
      <c r="G12" s="9" t="n">
        <v>2668.41</v>
      </c>
      <c r="H12" s="9" t="n">
        <v>2661.41</v>
      </c>
      <c r="I12" s="9" t="n">
        <v>2685.91</v>
      </c>
      <c r="J12" s="9" t="n">
        <v>1</v>
      </c>
      <c r="K12" s="10" t="n">
        <f aca="false">V12*ABS(G12-H12)/W12*100</f>
        <v>0.999716128779647</v>
      </c>
      <c r="L12" s="11" t="n">
        <f aca="false">ROUND(V12*IF(F12="Long",1,-1)*(T12-G12),2)</f>
        <v>-102.13</v>
      </c>
      <c r="M12" s="12" t="n">
        <v>3.65</v>
      </c>
      <c r="N12" s="11" t="n">
        <f aca="false">ROUND(L12-M12,2)</f>
        <v>-105.78</v>
      </c>
      <c r="O12" s="13" t="n">
        <f aca="false">N12/X12</f>
        <v>-1.03543461237275</v>
      </c>
      <c r="P12" s="14" t="str">
        <f aca="false">IF(N12&gt;0,"Win",IF(N12&lt;0,"Loss","Breakeven"))</f>
        <v>Loss</v>
      </c>
      <c r="Q12" s="14" t="str">
        <f aca="false">IF(ROUND(K12,2)&gt;ROUND(J12,2),"Yes","No")</f>
        <v>No</v>
      </c>
      <c r="R12" s="6" t="s">
        <v>56</v>
      </c>
      <c r="S12" s="6" t="s">
        <v>64</v>
      </c>
      <c r="T12" s="9" t="n">
        <v>2661.41</v>
      </c>
      <c r="U12" s="6" t="s">
        <v>65</v>
      </c>
      <c r="V12" s="15" t="n">
        <v>14.59</v>
      </c>
      <c r="W12" s="11" t="n">
        <f aca="false">ROUND(W11+N11,2)</f>
        <v>10215.9</v>
      </c>
      <c r="X12" s="11" t="n">
        <f aca="false">ROUND(W12*J12/100,2)</f>
        <v>102.16</v>
      </c>
      <c r="Y12" s="6"/>
      <c r="Z12" s="13" t="n">
        <f aca="false">Z11+O12</f>
        <v>0.655710480286438</v>
      </c>
      <c r="AA12" s="13" t="n">
        <f aca="false">MAX(AA11,Z12)</f>
        <v>1.978</v>
      </c>
      <c r="AB12" s="13" t="n">
        <f aca="false">Z12-AA12</f>
        <v>-1.32228951971356</v>
      </c>
      <c r="AC12" s="11" t="n">
        <f aca="false">ROUND(W12+N12,2)</f>
        <v>10110.12</v>
      </c>
      <c r="AD12" s="11" t="n">
        <f aca="false">MAX(AD11,AC12)</f>
        <v>10243.47</v>
      </c>
      <c r="AE12" s="16" t="n">
        <f aca="false">(AC12-AD12)/AD12*100</f>
        <v>-1.30180495476629</v>
      </c>
      <c r="AF12" s="14" t="n">
        <f aca="false">IF(O12&gt;0,AF11+1,0)</f>
        <v>0</v>
      </c>
      <c r="AG12" s="14" t="n">
        <f aca="false">IF(O12&lt;0,AG11+1,0)</f>
        <v>1</v>
      </c>
    </row>
    <row r="13" customFormat="false" ht="15" hidden="false" customHeight="false" outlineLevel="0" collapsed="false">
      <c r="A13" s="6" t="s">
        <v>84</v>
      </c>
      <c r="B13" s="7" t="n">
        <v>46094</v>
      </c>
      <c r="C13" s="6" t="s">
        <v>71</v>
      </c>
      <c r="D13" s="6" t="s">
        <v>61</v>
      </c>
      <c r="E13" s="6" t="s">
        <v>54</v>
      </c>
      <c r="F13" s="6" t="s">
        <v>63</v>
      </c>
      <c r="G13" s="18" t="n">
        <v>1.08326</v>
      </c>
      <c r="H13" s="18" t="n">
        <v>1.08611</v>
      </c>
      <c r="I13" s="18" t="n">
        <v>1.07756</v>
      </c>
      <c r="J13" s="9" t="n">
        <v>1</v>
      </c>
      <c r="K13" s="10" t="n">
        <f aca="false">V13*ABS(G13-H13)/W13*100</f>
        <v>0.999988012011734</v>
      </c>
      <c r="L13" s="11" t="n">
        <f aca="false">ROUND(V13*IF(F13="Long",1,-1)*(T13-G13),2)</f>
        <v>-101.1</v>
      </c>
      <c r="M13" s="12" t="n">
        <v>2.84</v>
      </c>
      <c r="N13" s="11" t="n">
        <f aca="false">ROUND(L13-M13,2)</f>
        <v>-103.94</v>
      </c>
      <c r="O13" s="13" t="n">
        <f aca="false">N13/X13</f>
        <v>-1.02809099901088</v>
      </c>
      <c r="P13" s="14" t="str">
        <f aca="false">IF(N13&gt;0,"Win",IF(N13&lt;0,"Loss","Breakeven"))</f>
        <v>Loss</v>
      </c>
      <c r="Q13" s="14" t="str">
        <f aca="false">IF(ROUND(K13,2)&gt;ROUND(J13,2),"Yes","No")</f>
        <v>No</v>
      </c>
      <c r="R13" s="6" t="s">
        <v>56</v>
      </c>
      <c r="S13" s="6" t="s">
        <v>64</v>
      </c>
      <c r="T13" s="18" t="n">
        <v>1.08611</v>
      </c>
      <c r="U13" s="6" t="s">
        <v>65</v>
      </c>
      <c r="V13" s="15" t="n">
        <v>35473.68</v>
      </c>
      <c r="W13" s="11" t="n">
        <f aca="false">ROUND(W12+N12,2)</f>
        <v>10110.12</v>
      </c>
      <c r="X13" s="11" t="n">
        <f aca="false">ROUND(W13*J13/100,2)</f>
        <v>101.1</v>
      </c>
      <c r="Y13" s="6"/>
      <c r="Z13" s="13" t="n">
        <f aca="false">Z12+O13</f>
        <v>-0.372380518724442</v>
      </c>
      <c r="AA13" s="13" t="n">
        <f aca="false">MAX(AA12,Z13)</f>
        <v>1.978</v>
      </c>
      <c r="AB13" s="13" t="n">
        <f aca="false">Z13-AA13</f>
        <v>-2.35038051872444</v>
      </c>
      <c r="AC13" s="11" t="n">
        <f aca="false">ROUND(W13+N13,2)</f>
        <v>10006.18</v>
      </c>
      <c r="AD13" s="11" t="n">
        <f aca="false">MAX(AD12,AC13)</f>
        <v>10243.47</v>
      </c>
      <c r="AE13" s="16" t="n">
        <f aca="false">(AC13-AD13)/AD13*100</f>
        <v>-2.31650017035242</v>
      </c>
      <c r="AF13" s="14" t="n">
        <f aca="false">IF(O13&gt;0,AF12+1,0)</f>
        <v>0</v>
      </c>
      <c r="AG13" s="14" t="n">
        <f aca="false">IF(O13&lt;0,AG12+1,0)</f>
        <v>2</v>
      </c>
    </row>
    <row r="14" customFormat="false" ht="15" hidden="false" customHeight="false" outlineLevel="0" collapsed="false">
      <c r="A14" s="6" t="s">
        <v>85</v>
      </c>
      <c r="B14" s="7" t="n">
        <v>46097</v>
      </c>
      <c r="C14" s="6" t="s">
        <v>71</v>
      </c>
      <c r="D14" s="6" t="s">
        <v>68</v>
      </c>
      <c r="E14" s="6" t="s">
        <v>62</v>
      </c>
      <c r="F14" s="6" t="s">
        <v>55</v>
      </c>
      <c r="G14" s="18" t="n">
        <v>1.0809</v>
      </c>
      <c r="H14" s="18" t="n">
        <v>1.07888</v>
      </c>
      <c r="I14" s="18" t="n">
        <v>1.08534</v>
      </c>
      <c r="J14" s="9" t="n">
        <v>1</v>
      </c>
      <c r="K14" s="10" t="n">
        <f aca="false">V14*ABS(G14-H14)/W14*100</f>
        <v>0.999981941160319</v>
      </c>
      <c r="L14" s="11" t="n">
        <f aca="false">ROUND(V14*IF(F14="Long",1,-1)*(T14-G14),2)</f>
        <v>219.93</v>
      </c>
      <c r="M14" s="12" t="n">
        <v>3.96</v>
      </c>
      <c r="N14" s="11" t="n">
        <f aca="false">ROUND(L14-M14,2)</f>
        <v>215.97</v>
      </c>
      <c r="O14" s="13" t="n">
        <f aca="false">N14/X14</f>
        <v>2.15840495702578</v>
      </c>
      <c r="P14" s="14" t="str">
        <f aca="false">IF(N14&gt;0,"Win",IF(N14&lt;0,"Loss","Breakeven"))</f>
        <v>Win</v>
      </c>
      <c r="Q14" s="14" t="str">
        <f aca="false">IF(ROUND(K14,2)&gt;ROUND(J14,2),"Yes","No")</f>
        <v>No</v>
      </c>
      <c r="R14" s="6" t="s">
        <v>56</v>
      </c>
      <c r="S14" s="6" t="s">
        <v>57</v>
      </c>
      <c r="T14" s="18" t="n">
        <v>1.08534</v>
      </c>
      <c r="U14" s="6" t="s">
        <v>58</v>
      </c>
      <c r="V14" s="15" t="n">
        <v>49534.65</v>
      </c>
      <c r="W14" s="11" t="n">
        <f aca="false">ROUND(W13+N13,2)</f>
        <v>10006.18</v>
      </c>
      <c r="X14" s="11" t="n">
        <f aca="false">ROUND(W14*J14/100,2)</f>
        <v>100.06</v>
      </c>
      <c r="Y14" s="6"/>
      <c r="Z14" s="13" t="n">
        <f aca="false">Z13+O14</f>
        <v>1.78602443830134</v>
      </c>
      <c r="AA14" s="13" t="n">
        <f aca="false">MAX(AA13,Z14)</f>
        <v>1.978</v>
      </c>
      <c r="AB14" s="13" t="n">
        <f aca="false">Z14-AA14</f>
        <v>-0.191975561698658</v>
      </c>
      <c r="AC14" s="11" t="n">
        <f aca="false">ROUND(W14+N14,2)</f>
        <v>10222.15</v>
      </c>
      <c r="AD14" s="11" t="n">
        <f aca="false">MAX(AD13,AC14)</f>
        <v>10243.47</v>
      </c>
      <c r="AE14" s="16" t="n">
        <f aca="false">(AC14-AD14)/AD14*100</f>
        <v>-0.208132595692668</v>
      </c>
      <c r="AF14" s="14" t="n">
        <f aca="false">IF(O14&gt;0,AF13+1,0)</f>
        <v>1</v>
      </c>
      <c r="AG14" s="14" t="n">
        <f aca="false">IF(O14&lt;0,AG13+1,0)</f>
        <v>0</v>
      </c>
    </row>
    <row r="15" customFormat="false" ht="15" hidden="false" customHeight="false" outlineLevel="0" collapsed="false">
      <c r="A15" s="6" t="s">
        <v>86</v>
      </c>
      <c r="B15" s="7" t="n">
        <v>46099</v>
      </c>
      <c r="C15" s="6" t="s">
        <v>52</v>
      </c>
      <c r="D15" s="6" t="s">
        <v>61</v>
      </c>
      <c r="E15" s="6" t="s">
        <v>62</v>
      </c>
      <c r="F15" s="6" t="s">
        <v>55</v>
      </c>
      <c r="G15" s="8" t="n">
        <v>147.048</v>
      </c>
      <c r="H15" s="8" t="n">
        <v>146.609</v>
      </c>
      <c r="I15" s="8" t="n">
        <v>147.707</v>
      </c>
      <c r="J15" s="9" t="n">
        <v>1</v>
      </c>
      <c r="K15" s="10" t="n">
        <f aca="false">V15*ABS(G15-H15)/W15*100</f>
        <v>0.999953630107153</v>
      </c>
      <c r="L15" s="11" t="n">
        <f aca="false">ROUND(V15*IF(F15="Long",1,-1)*(T15-G15),2)</f>
        <v>-102.22</v>
      </c>
      <c r="M15" s="12" t="n">
        <v>2.33</v>
      </c>
      <c r="N15" s="11" t="n">
        <f aca="false">ROUND(L15-M15,2)</f>
        <v>-104.55</v>
      </c>
      <c r="O15" s="13" t="n">
        <f aca="false">N15/X15</f>
        <v>-1.02279397378204</v>
      </c>
      <c r="P15" s="14" t="str">
        <f aca="false">IF(N15&gt;0,"Win",IF(N15&lt;0,"Loss","Breakeven"))</f>
        <v>Loss</v>
      </c>
      <c r="Q15" s="14" t="str">
        <f aca="false">IF(ROUND(K15,2)&gt;ROUND(J15,2),"Yes","No")</f>
        <v>No</v>
      </c>
      <c r="R15" s="6" t="s">
        <v>87</v>
      </c>
      <c r="S15" s="6" t="s">
        <v>88</v>
      </c>
      <c r="T15" s="8" t="n">
        <v>146.609</v>
      </c>
      <c r="U15" s="6" t="s">
        <v>65</v>
      </c>
      <c r="V15" s="15" t="n">
        <v>232.84</v>
      </c>
      <c r="W15" s="11" t="n">
        <f aca="false">ROUND(W14+N14,2)</f>
        <v>10222.15</v>
      </c>
      <c r="X15" s="11" t="n">
        <f aca="false">ROUND(W15*J15/100,2)</f>
        <v>102.22</v>
      </c>
      <c r="Y15" s="6" t="s">
        <v>89</v>
      </c>
      <c r="Z15" s="13" t="n">
        <f aca="false">Z14+O15</f>
        <v>0.763230464519303</v>
      </c>
      <c r="AA15" s="13" t="n">
        <f aca="false">MAX(AA14,Z15)</f>
        <v>1.978</v>
      </c>
      <c r="AB15" s="13" t="n">
        <f aca="false">Z15-AA15</f>
        <v>-1.2147695354807</v>
      </c>
      <c r="AC15" s="11" t="n">
        <f aca="false">ROUND(W15+N15,2)</f>
        <v>10117.6</v>
      </c>
      <c r="AD15" s="11" t="n">
        <f aca="false">MAX(AD14,AC15)</f>
        <v>10243.47</v>
      </c>
      <c r="AE15" s="16" t="n">
        <f aca="false">(AC15-AD15)/AD15*100</f>
        <v>-1.22878282457018</v>
      </c>
      <c r="AF15" s="14" t="n">
        <f aca="false">IF(O15&gt;0,AF14+1,0)</f>
        <v>0</v>
      </c>
      <c r="AG15" s="14" t="n">
        <f aca="false">IF(O15&lt;0,AG14+1,0)</f>
        <v>1</v>
      </c>
    </row>
    <row r="16" customFormat="false" ht="15" hidden="false" customHeight="false" outlineLevel="0" collapsed="false">
      <c r="A16" s="6" t="s">
        <v>90</v>
      </c>
      <c r="B16" s="7" t="n">
        <v>46100</v>
      </c>
      <c r="C16" s="6" t="s">
        <v>52</v>
      </c>
      <c r="D16" s="6" t="s">
        <v>83</v>
      </c>
      <c r="E16" s="6" t="s">
        <v>91</v>
      </c>
      <c r="F16" s="6" t="s">
        <v>55</v>
      </c>
      <c r="G16" s="8" t="n">
        <v>148.344</v>
      </c>
      <c r="H16" s="8" t="n">
        <v>147.987</v>
      </c>
      <c r="I16" s="8" t="s">
        <v>92</v>
      </c>
      <c r="J16" s="9" t="n">
        <v>1</v>
      </c>
      <c r="K16" s="10" t="n">
        <f aca="false">V16*ABS(G16-H16)/W16*100</f>
        <v>1.00001354076065</v>
      </c>
      <c r="L16" s="11" t="n">
        <f aca="false">ROUND(V16*IF(F16="Long",1,-1)*(T16-G16),2)</f>
        <v>151.91</v>
      </c>
      <c r="M16" s="12" t="n">
        <v>2.83</v>
      </c>
      <c r="N16" s="11" t="n">
        <f aca="false">ROUND(L16-M16,2)</f>
        <v>149.08</v>
      </c>
      <c r="O16" s="13" t="n">
        <f aca="false">N16/X16</f>
        <v>1.47341371812611</v>
      </c>
      <c r="P16" s="14" t="str">
        <f aca="false">IF(N16&gt;0,"Win",IF(N16&lt;0,"Loss","Breakeven"))</f>
        <v>Win</v>
      </c>
      <c r="Q16" s="14" t="str">
        <f aca="false">IF(ROUND(K16,2)&gt;ROUND(J16,2),"Yes","No")</f>
        <v>No</v>
      </c>
      <c r="R16" s="6" t="s">
        <v>56</v>
      </c>
      <c r="S16" s="6" t="s">
        <v>57</v>
      </c>
      <c r="T16" s="8" t="n">
        <v>148.88</v>
      </c>
      <c r="U16" s="6" t="s">
        <v>93</v>
      </c>
      <c r="V16" s="15" t="n">
        <v>283.41</v>
      </c>
      <c r="W16" s="11" t="n">
        <f aca="false">ROUND(W15+N15,2)</f>
        <v>10117.6</v>
      </c>
      <c r="X16" s="11" t="n">
        <f aca="false">ROUND(W16*J16/100,2)</f>
        <v>101.18</v>
      </c>
      <c r="Y16" s="6"/>
      <c r="Z16" s="13" t="n">
        <f aca="false">Z15+O16</f>
        <v>2.23664418264542</v>
      </c>
      <c r="AA16" s="13" t="n">
        <f aca="false">MAX(AA15,Z16)</f>
        <v>2.23664418264542</v>
      </c>
      <c r="AB16" s="13" t="n">
        <f aca="false">Z16-AA16</f>
        <v>0</v>
      </c>
      <c r="AC16" s="11" t="n">
        <f aca="false">ROUND(W16+N16,2)</f>
        <v>10266.68</v>
      </c>
      <c r="AD16" s="11" t="n">
        <f aca="false">MAX(AD15,AC16)</f>
        <v>10266.68</v>
      </c>
      <c r="AE16" s="16" t="n">
        <f aca="false">(AC16-AD16)/AD16*100</f>
        <v>0</v>
      </c>
      <c r="AF16" s="14" t="n">
        <f aca="false">IF(O16&gt;0,AF15+1,0)</f>
        <v>1</v>
      </c>
      <c r="AG16" s="14" t="n">
        <f aca="false">IF(O16&lt;0,AG15+1,0)</f>
        <v>0</v>
      </c>
    </row>
    <row r="17" customFormat="false" ht="15" hidden="false" customHeight="false" outlineLevel="0" collapsed="false">
      <c r="A17" s="6" t="s">
        <v>94</v>
      </c>
      <c r="B17" s="7" t="n">
        <v>46100</v>
      </c>
      <c r="C17" s="6" t="s">
        <v>60</v>
      </c>
      <c r="D17" s="6" t="s">
        <v>53</v>
      </c>
      <c r="E17" s="6" t="s">
        <v>91</v>
      </c>
      <c r="F17" s="6" t="s">
        <v>55</v>
      </c>
      <c r="G17" s="17" t="n">
        <v>67560.6</v>
      </c>
      <c r="H17" s="17" t="n">
        <v>66630.3</v>
      </c>
      <c r="I17" s="17" t="n">
        <v>69421.2</v>
      </c>
      <c r="J17" s="9" t="n">
        <v>0.5</v>
      </c>
      <c r="K17" s="10" t="n">
        <f aca="false">V17*ABS(G17-H17)/W17*100</f>
        <v>0.49928048794742</v>
      </c>
      <c r="L17" s="11" t="n">
        <f aca="false">ROUND(V17*IF(F17="Long",1,-1)*(T17-G17),2)</f>
        <v>-56.38</v>
      </c>
      <c r="M17" s="12" t="n">
        <v>0.83</v>
      </c>
      <c r="N17" s="11" t="n">
        <f aca="false">ROUND(L17-M17,2)</f>
        <v>-57.21</v>
      </c>
      <c r="O17" s="13" t="n">
        <f aca="false">N17/X17</f>
        <v>-1.114552893045</v>
      </c>
      <c r="P17" s="14" t="str">
        <f aca="false">IF(N17&gt;0,"Win",IF(N17&lt;0,"Loss","Breakeven"))</f>
        <v>Loss</v>
      </c>
      <c r="Q17" s="14" t="str">
        <f aca="false">IF(ROUND(K17,2)&gt;ROUND(J17,2),"Yes","No")</f>
        <v>No</v>
      </c>
      <c r="R17" s="6" t="s">
        <v>73</v>
      </c>
      <c r="S17" s="6" t="s">
        <v>95</v>
      </c>
      <c r="T17" s="17" t="n">
        <v>66537.3</v>
      </c>
      <c r="U17" s="6" t="s">
        <v>96</v>
      </c>
      <c r="V17" s="15" t="n">
        <v>0.0551</v>
      </c>
      <c r="W17" s="11" t="n">
        <f aca="false">ROUND(W16+N16,2)</f>
        <v>10266.68</v>
      </c>
      <c r="X17" s="11" t="n">
        <f aca="false">ROUND(W17*J17/100,2)</f>
        <v>51.33</v>
      </c>
      <c r="Y17" s="6" t="s">
        <v>97</v>
      </c>
      <c r="Z17" s="13" t="n">
        <f aca="false">Z16+O17</f>
        <v>1.12209128960041</v>
      </c>
      <c r="AA17" s="13" t="n">
        <f aca="false">MAX(AA16,Z17)</f>
        <v>2.23664418264542</v>
      </c>
      <c r="AB17" s="13" t="n">
        <f aca="false">Z17-AA17</f>
        <v>-1.114552893045</v>
      </c>
      <c r="AC17" s="11" t="n">
        <f aca="false">ROUND(W17+N17,2)</f>
        <v>10209.47</v>
      </c>
      <c r="AD17" s="11" t="n">
        <f aca="false">MAX(AD16,AC17)</f>
        <v>10266.68</v>
      </c>
      <c r="AE17" s="16" t="n">
        <f aca="false">(AC17-AD17)/AD17*100</f>
        <v>-0.55723953605256</v>
      </c>
      <c r="AF17" s="14" t="n">
        <f aca="false">IF(O17&gt;0,AF16+1,0)</f>
        <v>0</v>
      </c>
      <c r="AG17" s="14" t="n">
        <f aca="false">IF(O17&lt;0,AG16+1,0)</f>
        <v>1</v>
      </c>
    </row>
    <row r="18" customFormat="false" ht="15" hidden="false" customHeight="false" outlineLevel="0" collapsed="false">
      <c r="A18" s="6" t="s">
        <v>98</v>
      </c>
      <c r="B18" s="7" t="n">
        <v>46101</v>
      </c>
      <c r="C18" s="6" t="s">
        <v>52</v>
      </c>
      <c r="D18" s="6" t="s">
        <v>53</v>
      </c>
      <c r="E18" s="6" t="s">
        <v>69</v>
      </c>
      <c r="F18" s="6" t="s">
        <v>55</v>
      </c>
      <c r="G18" s="8" t="n">
        <v>147.816</v>
      </c>
      <c r="H18" s="8" t="n">
        <v>147.225</v>
      </c>
      <c r="I18" s="8" t="n">
        <v>148.703</v>
      </c>
      <c r="J18" s="9" t="n">
        <v>1</v>
      </c>
      <c r="K18" s="10" t="n">
        <f aca="false">V18*ABS(G18-H18)/W18*100</f>
        <v>0.99994749972331</v>
      </c>
      <c r="L18" s="11" t="n">
        <f aca="false">ROUND(V18*IF(F18="Long",1,-1)*(T18-G18),2)</f>
        <v>-102.09</v>
      </c>
      <c r="M18" s="12" t="n">
        <v>1.73</v>
      </c>
      <c r="N18" s="11" t="n">
        <f aca="false">ROUND(L18-M18,2)</f>
        <v>-103.82</v>
      </c>
      <c r="O18" s="13" t="n">
        <f aca="false">N18/X18</f>
        <v>-1.01694583210892</v>
      </c>
      <c r="P18" s="14" t="str">
        <f aca="false">IF(N18&gt;0,"Win",IF(N18&lt;0,"Loss","Breakeven"))</f>
        <v>Loss</v>
      </c>
      <c r="Q18" s="14" t="str">
        <f aca="false">IF(ROUND(K18,2)&gt;ROUND(J18,2),"Yes","No")</f>
        <v>No</v>
      </c>
      <c r="R18" s="6" t="s">
        <v>56</v>
      </c>
      <c r="S18" s="6" t="s">
        <v>64</v>
      </c>
      <c r="T18" s="8" t="n">
        <v>147.225</v>
      </c>
      <c r="U18" s="6" t="s">
        <v>65</v>
      </c>
      <c r="V18" s="15" t="n">
        <v>172.74</v>
      </c>
      <c r="W18" s="11" t="n">
        <f aca="false">ROUND(W17+N17,2)</f>
        <v>10209.47</v>
      </c>
      <c r="X18" s="11" t="n">
        <f aca="false">ROUND(W18*J18/100,2)</f>
        <v>102.09</v>
      </c>
      <c r="Y18" s="6"/>
      <c r="Z18" s="13" t="n">
        <f aca="false">Z17+O18</f>
        <v>0.105145457491489</v>
      </c>
      <c r="AA18" s="13" t="n">
        <f aca="false">MAX(AA17,Z18)</f>
        <v>2.23664418264542</v>
      </c>
      <c r="AB18" s="13" t="n">
        <f aca="false">Z18-AA18</f>
        <v>-2.13149872515393</v>
      </c>
      <c r="AC18" s="11" t="n">
        <f aca="false">ROUND(W18+N18,2)</f>
        <v>10105.65</v>
      </c>
      <c r="AD18" s="11" t="n">
        <f aca="false">MAX(AD17,AC18)</f>
        <v>10266.68</v>
      </c>
      <c r="AE18" s="16" t="n">
        <f aca="false">(AC18-AD18)/AD18*100</f>
        <v>-1.56847198899742</v>
      </c>
      <c r="AF18" s="14" t="n">
        <f aca="false">IF(O18&gt;0,AF17+1,0)</f>
        <v>0</v>
      </c>
      <c r="AG18" s="14" t="n">
        <f aca="false">IF(O18&lt;0,AG17+1,0)</f>
        <v>2</v>
      </c>
    </row>
    <row r="19" customFormat="false" ht="15" hidden="false" customHeight="false" outlineLevel="0" collapsed="false">
      <c r="A19" s="6" t="s">
        <v>99</v>
      </c>
      <c r="B19" s="7" t="n">
        <v>46104</v>
      </c>
      <c r="C19" s="6" t="s">
        <v>60</v>
      </c>
      <c r="D19" s="6" t="s">
        <v>83</v>
      </c>
      <c r="E19" s="6" t="s">
        <v>69</v>
      </c>
      <c r="F19" s="6" t="s">
        <v>55</v>
      </c>
      <c r="G19" s="17" t="n">
        <v>66426.3</v>
      </c>
      <c r="H19" s="17" t="n">
        <v>65489.7</v>
      </c>
      <c r="I19" s="17" t="n">
        <v>68299.5</v>
      </c>
      <c r="J19" s="9" t="n">
        <v>0.5</v>
      </c>
      <c r="K19" s="10" t="n">
        <f aca="false">V19*ABS(G19-H19)/W19*100</f>
        <v>0.499549657864663</v>
      </c>
      <c r="L19" s="11" t="n">
        <f aca="false">ROUND(V19*IF(F19="Long",1,-1)*(T19-G19),2)</f>
        <v>100.97</v>
      </c>
      <c r="M19" s="12" t="n">
        <v>0.81</v>
      </c>
      <c r="N19" s="11" t="n">
        <f aca="false">ROUND(L19-M19,2)</f>
        <v>100.16</v>
      </c>
      <c r="O19" s="13" t="n">
        <f aca="false">N19/X19</f>
        <v>1.98218879873343</v>
      </c>
      <c r="P19" s="14" t="str">
        <f aca="false">IF(N19&gt;0,"Win",IF(N19&lt;0,"Loss","Breakeven"))</f>
        <v>Win</v>
      </c>
      <c r="Q19" s="14" t="str">
        <f aca="false">IF(ROUND(K19,2)&gt;ROUND(J19,2),"Yes","No")</f>
        <v>No</v>
      </c>
      <c r="R19" s="6" t="s">
        <v>56</v>
      </c>
      <c r="S19" s="6" t="s">
        <v>57</v>
      </c>
      <c r="T19" s="17" t="n">
        <v>68299.5</v>
      </c>
      <c r="U19" s="6" t="s">
        <v>58</v>
      </c>
      <c r="V19" s="15" t="n">
        <v>0.0539</v>
      </c>
      <c r="W19" s="11" t="n">
        <f aca="false">ROUND(W18+N18,2)</f>
        <v>10105.65</v>
      </c>
      <c r="X19" s="11" t="n">
        <f aca="false">ROUND(W19*J19/100,2)</f>
        <v>50.53</v>
      </c>
      <c r="Y19" s="6"/>
      <c r="Z19" s="13" t="n">
        <f aca="false">Z18+O19</f>
        <v>2.08733425622491</v>
      </c>
      <c r="AA19" s="13" t="n">
        <f aca="false">MAX(AA18,Z19)</f>
        <v>2.23664418264542</v>
      </c>
      <c r="AB19" s="13" t="n">
        <f aca="false">Z19-AA19</f>
        <v>-0.149309926420501</v>
      </c>
      <c r="AC19" s="11" t="n">
        <f aca="false">ROUND(W19+N19,2)</f>
        <v>10205.81</v>
      </c>
      <c r="AD19" s="11" t="n">
        <f aca="false">MAX(AD18,AC19)</f>
        <v>10266.68</v>
      </c>
      <c r="AE19" s="16" t="n">
        <f aca="false">(AC19-AD19)/AD19*100</f>
        <v>-0.592888840404111</v>
      </c>
      <c r="AF19" s="14" t="n">
        <f aca="false">IF(O19&gt;0,AF18+1,0)</f>
        <v>1</v>
      </c>
      <c r="AG19" s="14" t="n">
        <f aca="false">IF(O19&lt;0,AG18+1,0)</f>
        <v>0</v>
      </c>
    </row>
    <row r="20" customFormat="false" ht="15" hidden="false" customHeight="false" outlineLevel="0" collapsed="false">
      <c r="A20" s="6" t="s">
        <v>100</v>
      </c>
      <c r="B20" s="7" t="n">
        <v>46105</v>
      </c>
      <c r="C20" s="6" t="s">
        <v>60</v>
      </c>
      <c r="D20" s="6" t="s">
        <v>68</v>
      </c>
      <c r="E20" s="6" t="s">
        <v>54</v>
      </c>
      <c r="F20" s="6" t="s">
        <v>55</v>
      </c>
      <c r="G20" s="17" t="n">
        <v>70661.8</v>
      </c>
      <c r="H20" s="17" t="n">
        <v>69833.9</v>
      </c>
      <c r="I20" s="17" t="n">
        <v>72317.6</v>
      </c>
      <c r="J20" s="9" t="n">
        <v>0.5</v>
      </c>
      <c r="K20" s="10" t="n">
        <f aca="false">V20*ABS(G20-H20)/W20*100</f>
        <v>0.499702032469746</v>
      </c>
      <c r="L20" s="11" t="n">
        <f aca="false">ROUND(V20*IF(F20="Long",1,-1)*(T20-G20),2)</f>
        <v>-51</v>
      </c>
      <c r="M20" s="12" t="n">
        <v>0.92</v>
      </c>
      <c r="N20" s="11" t="n">
        <f aca="false">ROUND(L20-M20,2)</f>
        <v>-51.92</v>
      </c>
      <c r="O20" s="13" t="n">
        <f aca="false">N20/X20</f>
        <v>-1.01744072114443</v>
      </c>
      <c r="P20" s="14" t="str">
        <f aca="false">IF(N20&gt;0,"Win",IF(N20&lt;0,"Loss","Breakeven"))</f>
        <v>Loss</v>
      </c>
      <c r="Q20" s="14" t="str">
        <f aca="false">IF(ROUND(K20,2)&gt;ROUND(J20,2),"Yes","No")</f>
        <v>No</v>
      </c>
      <c r="R20" s="6" t="s">
        <v>56</v>
      </c>
      <c r="S20" s="6" t="s">
        <v>64</v>
      </c>
      <c r="T20" s="17" t="n">
        <v>69833.9</v>
      </c>
      <c r="U20" s="6" t="s">
        <v>65</v>
      </c>
      <c r="V20" s="15" t="n">
        <v>0.0616</v>
      </c>
      <c r="W20" s="11" t="n">
        <f aca="false">ROUND(W19+N19,2)</f>
        <v>10205.81</v>
      </c>
      <c r="X20" s="11" t="n">
        <f aca="false">ROUND(W20*J20/100,2)</f>
        <v>51.03</v>
      </c>
      <c r="Y20" s="6"/>
      <c r="Z20" s="13" t="n">
        <f aca="false">Z19+O20</f>
        <v>1.06989353508049</v>
      </c>
      <c r="AA20" s="13" t="n">
        <f aca="false">MAX(AA19,Z20)</f>
        <v>2.23664418264542</v>
      </c>
      <c r="AB20" s="13" t="n">
        <f aca="false">Z20-AA20</f>
        <v>-1.16675064756493</v>
      </c>
      <c r="AC20" s="11" t="n">
        <f aca="false">ROUND(W20+N20,2)</f>
        <v>10153.89</v>
      </c>
      <c r="AD20" s="11" t="n">
        <f aca="false">MAX(AD19,AC20)</f>
        <v>10266.68</v>
      </c>
      <c r="AE20" s="16" t="n">
        <f aca="false">(AC20-AD20)/AD20*100</f>
        <v>-1.09860246934745</v>
      </c>
      <c r="AF20" s="14" t="n">
        <f aca="false">IF(O20&gt;0,AF19+1,0)</f>
        <v>0</v>
      </c>
      <c r="AG20" s="14" t="n">
        <f aca="false">IF(O20&lt;0,AG19+1,0)</f>
        <v>1</v>
      </c>
    </row>
    <row r="21" customFormat="false" ht="15" hidden="false" customHeight="false" outlineLevel="0" collapsed="false">
      <c r="A21" s="6" t="s">
        <v>101</v>
      </c>
      <c r="B21" s="7" t="n">
        <v>46105</v>
      </c>
      <c r="C21" s="6" t="s">
        <v>102</v>
      </c>
      <c r="D21" s="6" t="s">
        <v>61</v>
      </c>
      <c r="E21" s="6" t="s">
        <v>91</v>
      </c>
      <c r="F21" s="6" t="s">
        <v>63</v>
      </c>
      <c r="G21" s="18" t="n">
        <v>1.29852</v>
      </c>
      <c r="H21" s="18" t="n">
        <v>1.30179</v>
      </c>
      <c r="I21" s="18" t="n">
        <v>1.29198</v>
      </c>
      <c r="J21" s="9" t="n">
        <v>1</v>
      </c>
      <c r="K21" s="10" t="n">
        <f aca="false">V21*ABS(G21-H21)/W21*100</f>
        <v>1.00001058313615</v>
      </c>
      <c r="L21" s="11" t="n">
        <f aca="false">ROUND(V21*IF(F21="Long",1,-1)*(T21-G21),2)</f>
        <v>-101.54</v>
      </c>
      <c r="M21" s="12" t="n">
        <v>3.73</v>
      </c>
      <c r="N21" s="11" t="n">
        <f aca="false">ROUND(L21-M21,2)</f>
        <v>-105.27</v>
      </c>
      <c r="O21" s="13" t="n">
        <f aca="false">N21/X21</f>
        <v>-1.03673429190467</v>
      </c>
      <c r="P21" s="14" t="str">
        <f aca="false">IF(N21&gt;0,"Win",IF(N21&lt;0,"Loss","Breakeven"))</f>
        <v>Loss</v>
      </c>
      <c r="Q21" s="14" t="str">
        <f aca="false">IF(ROUND(K21,2)&gt;ROUND(J21,2),"Yes","No")</f>
        <v>No</v>
      </c>
      <c r="R21" s="6" t="s">
        <v>56</v>
      </c>
      <c r="S21" s="6" t="s">
        <v>64</v>
      </c>
      <c r="T21" s="18" t="n">
        <v>1.30179</v>
      </c>
      <c r="U21" s="6" t="s">
        <v>65</v>
      </c>
      <c r="V21" s="15" t="n">
        <v>31051.98</v>
      </c>
      <c r="W21" s="11" t="n">
        <f aca="false">ROUND(W20+N20,2)</f>
        <v>10153.89</v>
      </c>
      <c r="X21" s="11" t="n">
        <f aca="false">ROUND(W21*J21/100,2)</f>
        <v>101.54</v>
      </c>
      <c r="Y21" s="6"/>
      <c r="Z21" s="13" t="n">
        <f aca="false">Z20+O21</f>
        <v>0.0331592431758214</v>
      </c>
      <c r="AA21" s="13" t="n">
        <f aca="false">MAX(AA20,Z21)</f>
        <v>2.23664418264542</v>
      </c>
      <c r="AB21" s="13" t="n">
        <f aca="false">Z21-AA21</f>
        <v>-2.20348493946959</v>
      </c>
      <c r="AC21" s="11" t="n">
        <f aca="false">ROUND(W21+N21,2)</f>
        <v>10048.62</v>
      </c>
      <c r="AD21" s="11" t="n">
        <f aca="false">MAX(AD20,AC21)</f>
        <v>10266.68</v>
      </c>
      <c r="AE21" s="16" t="n">
        <f aca="false">(AC21-AD21)/AD21*100</f>
        <v>-2.12395828057366</v>
      </c>
      <c r="AF21" s="14" t="n">
        <f aca="false">IF(O21&gt;0,AF20+1,0)</f>
        <v>0</v>
      </c>
      <c r="AG21" s="14" t="n">
        <f aca="false">IF(O21&lt;0,AG20+1,0)</f>
        <v>2</v>
      </c>
    </row>
    <row r="22" customFormat="false" ht="15" hidden="false" customHeight="false" outlineLevel="0" collapsed="false">
      <c r="A22" s="6" t="s">
        <v>103</v>
      </c>
      <c r="B22" s="7" t="n">
        <v>46105</v>
      </c>
      <c r="C22" s="6" t="s">
        <v>67</v>
      </c>
      <c r="D22" s="6" t="s">
        <v>61</v>
      </c>
      <c r="E22" s="6" t="s">
        <v>62</v>
      </c>
      <c r="F22" s="6" t="s">
        <v>55</v>
      </c>
      <c r="G22" s="9" t="n">
        <v>2624.32</v>
      </c>
      <c r="H22" s="9" t="n">
        <v>2614.74</v>
      </c>
      <c r="I22" s="9" t="n">
        <v>2643.48</v>
      </c>
      <c r="J22" s="9" t="n">
        <v>1</v>
      </c>
      <c r="K22" s="10" t="n">
        <f aca="false">V22*ABS(G22-H22)/W22*100</f>
        <v>1.4996427370127</v>
      </c>
      <c r="L22" s="11" t="n">
        <f aca="false">ROUND(V22*IF(F22="Long",1,-1)*(T22-G22),2)</f>
        <v>-150.69</v>
      </c>
      <c r="M22" s="12" t="n">
        <v>3.93</v>
      </c>
      <c r="N22" s="11" t="n">
        <f aca="false">ROUND(L22-M22,2)</f>
        <v>-154.62</v>
      </c>
      <c r="O22" s="13" t="n">
        <f aca="false">N22/X22</f>
        <v>-1.53866056324012</v>
      </c>
      <c r="P22" s="14" t="str">
        <f aca="false">IF(N22&gt;0,"Win",IF(N22&lt;0,"Loss","Breakeven"))</f>
        <v>Loss</v>
      </c>
      <c r="Q22" s="14" t="str">
        <f aca="false">IF(ROUND(K22,2)&gt;ROUND(J22,2),"Yes","No")</f>
        <v>Yes</v>
      </c>
      <c r="R22" s="6" t="s">
        <v>73</v>
      </c>
      <c r="S22" s="6" t="s">
        <v>104</v>
      </c>
      <c r="T22" s="9" t="n">
        <v>2614.74</v>
      </c>
      <c r="U22" s="6" t="s">
        <v>65</v>
      </c>
      <c r="V22" s="15" t="n">
        <v>15.73</v>
      </c>
      <c r="W22" s="11" t="n">
        <f aca="false">ROUND(W21+N21,2)</f>
        <v>10048.62</v>
      </c>
      <c r="X22" s="11" t="n">
        <f aca="false">ROUND(W22*J22/100,2)</f>
        <v>100.49</v>
      </c>
      <c r="Y22" s="6" t="s">
        <v>105</v>
      </c>
      <c r="Z22" s="13" t="n">
        <f aca="false">Z21+O22</f>
        <v>-1.5055013200643</v>
      </c>
      <c r="AA22" s="13" t="n">
        <f aca="false">MAX(AA21,Z22)</f>
        <v>2.23664418264542</v>
      </c>
      <c r="AB22" s="13" t="n">
        <f aca="false">Z22-AA22</f>
        <v>-3.74214550270972</v>
      </c>
      <c r="AC22" s="11" t="n">
        <f aca="false">ROUND(W22+N22,2)</f>
        <v>9894</v>
      </c>
      <c r="AD22" s="11" t="n">
        <f aca="false">MAX(AD21,AC22)</f>
        <v>10266.68</v>
      </c>
      <c r="AE22" s="16" t="n">
        <f aca="false">(AC22-AD22)/AD22*100</f>
        <v>-3.62999528572041</v>
      </c>
      <c r="AF22" s="14" t="n">
        <f aca="false">IF(O22&gt;0,AF21+1,0)</f>
        <v>0</v>
      </c>
      <c r="AG22" s="14" t="n">
        <f aca="false">IF(O22&lt;0,AG21+1,0)</f>
        <v>3</v>
      </c>
    </row>
    <row r="23" customFormat="false" ht="15" hidden="false" customHeight="false" outlineLevel="0" collapsed="false">
      <c r="A23" s="6" t="s">
        <v>106</v>
      </c>
      <c r="B23" s="7" t="n">
        <v>46107</v>
      </c>
      <c r="C23" s="6" t="s">
        <v>60</v>
      </c>
      <c r="D23" s="6" t="s">
        <v>83</v>
      </c>
      <c r="E23" s="6" t="s">
        <v>62</v>
      </c>
      <c r="F23" s="6" t="s">
        <v>63</v>
      </c>
      <c r="G23" s="17" t="n">
        <v>69808</v>
      </c>
      <c r="H23" s="17" t="n">
        <v>70589.4</v>
      </c>
      <c r="I23" s="17" t="n">
        <v>68323.3</v>
      </c>
      <c r="J23" s="9" t="n">
        <v>0.5</v>
      </c>
      <c r="K23" s="10" t="n">
        <f aca="false">V23*ABS(G23-H23)/W23*100</f>
        <v>0.49992540933899</v>
      </c>
      <c r="L23" s="11" t="n">
        <f aca="false">ROUND(V23*IF(F23="Long",1,-1)*(T23-G23),2)</f>
        <v>93.98</v>
      </c>
      <c r="M23" s="12" t="n">
        <v>0.95</v>
      </c>
      <c r="N23" s="11" t="n">
        <f aca="false">ROUND(L23-M23,2)</f>
        <v>93.03</v>
      </c>
      <c r="O23" s="13" t="n">
        <f aca="false">N23/X23</f>
        <v>1.88053365676167</v>
      </c>
      <c r="P23" s="14" t="str">
        <f aca="false">IF(N23&gt;0,"Win",IF(N23&lt;0,"Loss","Breakeven"))</f>
        <v>Win</v>
      </c>
      <c r="Q23" s="14" t="str">
        <f aca="false">IF(ROUND(K23,2)&gt;ROUND(J23,2),"Yes","No")</f>
        <v>No</v>
      </c>
      <c r="R23" s="6" t="s">
        <v>56</v>
      </c>
      <c r="S23" s="6" t="s">
        <v>57</v>
      </c>
      <c r="T23" s="17" t="n">
        <v>68323.3</v>
      </c>
      <c r="U23" s="6" t="s">
        <v>58</v>
      </c>
      <c r="V23" s="15" t="n">
        <v>0.0633</v>
      </c>
      <c r="W23" s="11" t="n">
        <f aca="false">ROUND(W22+N22,2)</f>
        <v>9894</v>
      </c>
      <c r="X23" s="11" t="n">
        <f aca="false">ROUND(W23*J23/100,2)</f>
        <v>49.47</v>
      </c>
      <c r="Y23" s="6"/>
      <c r="Z23" s="13" t="n">
        <f aca="false">Z22+O23</f>
        <v>0.375032336697372</v>
      </c>
      <c r="AA23" s="13" t="n">
        <f aca="false">MAX(AA22,Z23)</f>
        <v>2.23664418264542</v>
      </c>
      <c r="AB23" s="13" t="n">
        <f aca="false">Z23-AA23</f>
        <v>-1.86161184594804</v>
      </c>
      <c r="AC23" s="11" t="n">
        <f aca="false">ROUND(W23+N23,2)</f>
        <v>9987.03</v>
      </c>
      <c r="AD23" s="11" t="n">
        <f aca="false">MAX(AD22,AC23)</f>
        <v>10266.68</v>
      </c>
      <c r="AE23" s="16" t="n">
        <f aca="false">(AC23-AD23)/AD23*100</f>
        <v>-2.72386009888299</v>
      </c>
      <c r="AF23" s="14" t="n">
        <f aca="false">IF(O23&gt;0,AF22+1,0)</f>
        <v>1</v>
      </c>
      <c r="AG23" s="14" t="n">
        <f aca="false">IF(O23&lt;0,AG22+1,0)</f>
        <v>0</v>
      </c>
    </row>
    <row r="24" customFormat="false" ht="15" hidden="false" customHeight="false" outlineLevel="0" collapsed="false">
      <c r="A24" s="6" t="s">
        <v>107</v>
      </c>
      <c r="B24" s="7" t="n">
        <v>46108</v>
      </c>
      <c r="C24" s="6" t="s">
        <v>52</v>
      </c>
      <c r="D24" s="6" t="s">
        <v>83</v>
      </c>
      <c r="E24" s="6" t="s">
        <v>54</v>
      </c>
      <c r="F24" s="6" t="s">
        <v>63</v>
      </c>
      <c r="G24" s="8" t="n">
        <v>149.713</v>
      </c>
      <c r="H24" s="8" t="n">
        <v>150.258</v>
      </c>
      <c r="I24" s="8" t="n">
        <v>148.35</v>
      </c>
      <c r="J24" s="9" t="n">
        <v>1</v>
      </c>
      <c r="K24" s="10" t="n">
        <f aca="false">V24*ABS(G24-H24)/W24*100</f>
        <v>0.999954941559231</v>
      </c>
      <c r="L24" s="11" t="n">
        <f aca="false">ROUND(V24*IF(F24="Long",1,-1)*(T24-G24),2)</f>
        <v>-99.87</v>
      </c>
      <c r="M24" s="12" t="n">
        <v>1.83</v>
      </c>
      <c r="N24" s="11" t="n">
        <f aca="false">ROUND(L24-M24,2)</f>
        <v>-101.7</v>
      </c>
      <c r="O24" s="13" t="n">
        <f aca="false">N24/X24</f>
        <v>-1.01832382096726</v>
      </c>
      <c r="P24" s="14" t="str">
        <f aca="false">IF(N24&gt;0,"Win",IF(N24&lt;0,"Loss","Breakeven"))</f>
        <v>Loss</v>
      </c>
      <c r="Q24" s="14" t="str">
        <f aca="false">IF(ROUND(K24,2)&gt;ROUND(J24,2),"Yes","No")</f>
        <v>No</v>
      </c>
      <c r="R24" s="6" t="s">
        <v>56</v>
      </c>
      <c r="S24" s="6" t="s">
        <v>64</v>
      </c>
      <c r="T24" s="8" t="n">
        <v>150.258</v>
      </c>
      <c r="U24" s="6" t="s">
        <v>65</v>
      </c>
      <c r="V24" s="15" t="n">
        <v>183.24</v>
      </c>
      <c r="W24" s="11" t="n">
        <f aca="false">ROUND(W23+N23,2)</f>
        <v>9987.03</v>
      </c>
      <c r="X24" s="11" t="n">
        <f aca="false">ROUND(W24*J24/100,2)</f>
        <v>99.87</v>
      </c>
      <c r="Y24" s="6"/>
      <c r="Z24" s="13" t="n">
        <f aca="false">Z23+O24</f>
        <v>-0.643291484269886</v>
      </c>
      <c r="AA24" s="13" t="n">
        <f aca="false">MAX(AA23,Z24)</f>
        <v>2.23664418264542</v>
      </c>
      <c r="AB24" s="13" t="n">
        <f aca="false">Z24-AA24</f>
        <v>-2.8799356669153</v>
      </c>
      <c r="AC24" s="11" t="n">
        <f aca="false">ROUND(W24+N24,2)</f>
        <v>9885.33</v>
      </c>
      <c r="AD24" s="11" t="n">
        <f aca="false">MAX(AD23,AC24)</f>
        <v>10266.68</v>
      </c>
      <c r="AE24" s="16" t="n">
        <f aca="false">(AC24-AD24)/AD24*100</f>
        <v>-3.71444322799581</v>
      </c>
      <c r="AF24" s="14" t="n">
        <f aca="false">IF(O24&gt;0,AF23+1,0)</f>
        <v>0</v>
      </c>
      <c r="AG24" s="14" t="n">
        <f aca="false">IF(O24&lt;0,AG23+1,0)</f>
        <v>1</v>
      </c>
    </row>
    <row r="25" customFormat="false" ht="15" hidden="false" customHeight="false" outlineLevel="0" collapsed="false">
      <c r="A25" s="6" t="s">
        <v>108</v>
      </c>
      <c r="B25" s="7" t="n">
        <v>46111</v>
      </c>
      <c r="C25" s="6" t="s">
        <v>71</v>
      </c>
      <c r="D25" s="6" t="s">
        <v>68</v>
      </c>
      <c r="E25" s="6" t="s">
        <v>62</v>
      </c>
      <c r="F25" s="6" t="s">
        <v>55</v>
      </c>
      <c r="G25" s="18" t="n">
        <v>1.08906</v>
      </c>
      <c r="H25" s="18" t="n">
        <v>1.08648</v>
      </c>
      <c r="I25" s="18" t="n">
        <v>1.09319</v>
      </c>
      <c r="J25" s="9" t="n">
        <v>1</v>
      </c>
      <c r="K25" s="10" t="n">
        <f aca="false">V25*ABS(G25-H25)/W25*100</f>
        <v>0.999966526155435</v>
      </c>
      <c r="L25" s="11" t="n">
        <f aca="false">ROUND(V25*IF(F25="Long",1,-1)*(T25-G25),2)</f>
        <v>158.24</v>
      </c>
      <c r="M25" s="12" t="n">
        <v>3.07</v>
      </c>
      <c r="N25" s="11" t="n">
        <f aca="false">ROUND(L25-M25,2)</f>
        <v>155.17</v>
      </c>
      <c r="O25" s="13" t="n">
        <f aca="false">N25/X25</f>
        <v>1.5697521497218</v>
      </c>
      <c r="P25" s="14" t="str">
        <f aca="false">IF(N25&gt;0,"Win",IF(N25&lt;0,"Loss","Breakeven"))</f>
        <v>Win</v>
      </c>
      <c r="Q25" s="14" t="str">
        <f aca="false">IF(ROUND(K25,2)&gt;ROUND(J25,2),"Yes","No")</f>
        <v>No</v>
      </c>
      <c r="R25" s="6" t="s">
        <v>56</v>
      </c>
      <c r="S25" s="6" t="s">
        <v>57</v>
      </c>
      <c r="T25" s="18" t="n">
        <v>1.09319</v>
      </c>
      <c r="U25" s="6" t="s">
        <v>58</v>
      </c>
      <c r="V25" s="15" t="n">
        <v>38313.95</v>
      </c>
      <c r="W25" s="11" t="n">
        <f aca="false">ROUND(W24+N24,2)</f>
        <v>9885.33</v>
      </c>
      <c r="X25" s="11" t="n">
        <f aca="false">ROUND(W25*J25/100,2)</f>
        <v>98.85</v>
      </c>
      <c r="Y25" s="6"/>
      <c r="Z25" s="13" t="n">
        <f aca="false">Z24+O25</f>
        <v>0.926460665451915</v>
      </c>
      <c r="AA25" s="13" t="n">
        <f aca="false">MAX(AA24,Z25)</f>
        <v>2.23664418264542</v>
      </c>
      <c r="AB25" s="13" t="n">
        <f aca="false">Z25-AA25</f>
        <v>-1.3101835171935</v>
      </c>
      <c r="AC25" s="11" t="n">
        <f aca="false">ROUND(W25+N25,2)</f>
        <v>10040.5</v>
      </c>
      <c r="AD25" s="11" t="n">
        <f aca="false">MAX(AD24,AC25)</f>
        <v>10266.68</v>
      </c>
      <c r="AE25" s="16" t="n">
        <f aca="false">(AC25-AD25)/AD25*100</f>
        <v>-2.20304908694924</v>
      </c>
      <c r="AF25" s="14" t="n">
        <f aca="false">IF(O25&gt;0,AF24+1,0)</f>
        <v>1</v>
      </c>
      <c r="AG25" s="14" t="n">
        <f aca="false">IF(O25&lt;0,AG24+1,0)</f>
        <v>0</v>
      </c>
    </row>
    <row r="26" customFormat="false" ht="15" hidden="false" customHeight="false" outlineLevel="0" collapsed="false">
      <c r="A26" s="6" t="s">
        <v>109</v>
      </c>
      <c r="B26" s="7" t="n">
        <v>46112</v>
      </c>
      <c r="C26" s="6" t="s">
        <v>52</v>
      </c>
      <c r="D26" s="6" t="s">
        <v>61</v>
      </c>
      <c r="E26" s="6" t="s">
        <v>54</v>
      </c>
      <c r="F26" s="6" t="s">
        <v>55</v>
      </c>
      <c r="G26" s="8" t="n">
        <v>147.339</v>
      </c>
      <c r="H26" s="8" t="n">
        <v>146.885</v>
      </c>
      <c r="I26" s="8" t="n">
        <v>148.247</v>
      </c>
      <c r="J26" s="9" t="n">
        <v>1</v>
      </c>
      <c r="K26" s="10" t="n">
        <f aca="false">V26*ABS(G26-H26)/W26*100</f>
        <v>1.00001633384793</v>
      </c>
      <c r="L26" s="11" t="n">
        <f aca="false">ROUND(V26*IF(F26="Long",1,-1)*(T26-G26),2)</f>
        <v>40.25</v>
      </c>
      <c r="M26" s="12" t="n">
        <v>2.21</v>
      </c>
      <c r="N26" s="11" t="n">
        <f aca="false">ROUND(L26-M26,2)</f>
        <v>38.04</v>
      </c>
      <c r="O26" s="13" t="n">
        <f aca="false">N26/X26</f>
        <v>0.378846728413505</v>
      </c>
      <c r="P26" s="14" t="str">
        <f aca="false">IF(N26&gt;0,"Win",IF(N26&lt;0,"Loss","Breakeven"))</f>
        <v>Win</v>
      </c>
      <c r="Q26" s="14" t="str">
        <f aca="false">IF(ROUND(K26,2)&gt;ROUND(J26,2),"Yes","No")</f>
        <v>No</v>
      </c>
      <c r="R26" s="6" t="s">
        <v>73</v>
      </c>
      <c r="S26" s="6" t="s">
        <v>110</v>
      </c>
      <c r="T26" s="8" t="n">
        <v>147.521</v>
      </c>
      <c r="U26" s="6" t="s">
        <v>80</v>
      </c>
      <c r="V26" s="15" t="n">
        <v>221.16</v>
      </c>
      <c r="W26" s="11" t="n">
        <f aca="false">ROUND(W25+N25,2)</f>
        <v>10040.5</v>
      </c>
      <c r="X26" s="11" t="n">
        <f aca="false">ROUND(W26*J26/100,2)</f>
        <v>100.41</v>
      </c>
      <c r="Y26" s="6" t="s">
        <v>81</v>
      </c>
      <c r="Z26" s="13" t="n">
        <f aca="false">Z25+O26</f>
        <v>1.30530739386542</v>
      </c>
      <c r="AA26" s="13" t="n">
        <f aca="false">MAX(AA25,Z26)</f>
        <v>2.23664418264542</v>
      </c>
      <c r="AB26" s="13" t="n">
        <f aca="false">Z26-AA26</f>
        <v>-0.931336788779996</v>
      </c>
      <c r="AC26" s="11" t="n">
        <f aca="false">ROUND(W26+N26,2)</f>
        <v>10078.54</v>
      </c>
      <c r="AD26" s="11" t="n">
        <f aca="false">MAX(AD25,AC26)</f>
        <v>10266.68</v>
      </c>
      <c r="AE26" s="16" t="n">
        <f aca="false">(AC26-AD26)/AD26*100</f>
        <v>-1.83253008762326</v>
      </c>
      <c r="AF26" s="14" t="n">
        <f aca="false">IF(O26&gt;0,AF25+1,0)</f>
        <v>2</v>
      </c>
      <c r="AG26" s="14" t="n">
        <f aca="false">IF(O26&lt;0,AG25+1,0)</f>
        <v>0</v>
      </c>
    </row>
    <row r="27" customFormat="false" ht="15" hidden="false" customHeight="false" outlineLevel="0" collapsed="false">
      <c r="A27" s="6" t="s">
        <v>111</v>
      </c>
      <c r="B27" s="7" t="n">
        <v>46113</v>
      </c>
      <c r="C27" s="6" t="s">
        <v>102</v>
      </c>
      <c r="D27" s="6" t="s">
        <v>61</v>
      </c>
      <c r="E27" s="6" t="s">
        <v>91</v>
      </c>
      <c r="F27" s="6" t="s">
        <v>63</v>
      </c>
      <c r="G27" s="18" t="n">
        <v>1.28373</v>
      </c>
      <c r="H27" s="18" t="n">
        <v>1.28788</v>
      </c>
      <c r="I27" s="18" t="n">
        <v>1.27543</v>
      </c>
      <c r="J27" s="9" t="n">
        <v>1</v>
      </c>
      <c r="K27" s="10" t="n">
        <f aca="false">V27*ABS(G27-H27)/W27*100</f>
        <v>1.00004535379129</v>
      </c>
      <c r="L27" s="11" t="n">
        <f aca="false">ROUND(V27*IF(F27="Long",1,-1)*(T27-G27),2)</f>
        <v>-100.79</v>
      </c>
      <c r="M27" s="12" t="n">
        <v>2.91</v>
      </c>
      <c r="N27" s="11" t="n">
        <f aca="false">ROUND(L27-M27,2)</f>
        <v>-103.7</v>
      </c>
      <c r="O27" s="13" t="n">
        <f aca="false">N27/X27</f>
        <v>-1.02887191189602</v>
      </c>
      <c r="P27" s="14" t="str">
        <f aca="false">IF(N27&gt;0,"Win",IF(N27&lt;0,"Loss","Breakeven"))</f>
        <v>Loss</v>
      </c>
      <c r="Q27" s="14" t="str">
        <f aca="false">IF(ROUND(K27,2)&gt;ROUND(J27,2),"Yes","No")</f>
        <v>No</v>
      </c>
      <c r="R27" s="6" t="s">
        <v>56</v>
      </c>
      <c r="S27" s="6" t="s">
        <v>64</v>
      </c>
      <c r="T27" s="18" t="n">
        <v>1.28788</v>
      </c>
      <c r="U27" s="6" t="s">
        <v>65</v>
      </c>
      <c r="V27" s="15" t="n">
        <v>24286.74</v>
      </c>
      <c r="W27" s="11" t="n">
        <f aca="false">ROUND(W26+N26,2)</f>
        <v>10078.54</v>
      </c>
      <c r="X27" s="11" t="n">
        <f aca="false">ROUND(W27*J27/100,2)</f>
        <v>100.79</v>
      </c>
      <c r="Y27" s="6"/>
      <c r="Z27" s="13" t="n">
        <f aca="false">Z26+O27</f>
        <v>0.276435481969398</v>
      </c>
      <c r="AA27" s="13" t="n">
        <f aca="false">MAX(AA26,Z27)</f>
        <v>2.23664418264542</v>
      </c>
      <c r="AB27" s="13" t="n">
        <f aca="false">Z27-AA27</f>
        <v>-1.96020870067602</v>
      </c>
      <c r="AC27" s="11" t="n">
        <f aca="false">ROUND(W27+N27,2)</f>
        <v>9974.84</v>
      </c>
      <c r="AD27" s="11" t="n">
        <f aca="false">MAX(AD26,AC27)</f>
        <v>10266.68</v>
      </c>
      <c r="AE27" s="16" t="n">
        <f aca="false">(AC27-AD27)/AD27*100</f>
        <v>-2.84259371091726</v>
      </c>
      <c r="AF27" s="14" t="n">
        <f aca="false">IF(O27&gt;0,AF26+1,0)</f>
        <v>0</v>
      </c>
      <c r="AG27" s="14" t="n">
        <f aca="false">IF(O27&lt;0,AG26+1,0)</f>
        <v>1</v>
      </c>
    </row>
    <row r="28" customFormat="false" ht="15" hidden="false" customHeight="false" outlineLevel="0" collapsed="false">
      <c r="A28" s="6" t="s">
        <v>112</v>
      </c>
      <c r="B28" s="7" t="n">
        <v>46114</v>
      </c>
      <c r="C28" s="6" t="s">
        <v>60</v>
      </c>
      <c r="D28" s="6" t="s">
        <v>83</v>
      </c>
      <c r="E28" s="6" t="s">
        <v>62</v>
      </c>
      <c r="F28" s="6" t="s">
        <v>55</v>
      </c>
      <c r="G28" s="17" t="n">
        <v>70335</v>
      </c>
      <c r="H28" s="17" t="n">
        <v>69048.7</v>
      </c>
      <c r="I28" s="17" t="n">
        <v>72907.6</v>
      </c>
      <c r="J28" s="9" t="n">
        <v>0.5</v>
      </c>
      <c r="K28" s="10" t="n">
        <f aca="false">V28*ABS(G28-H28)/W28*100</f>
        <v>0.539029598469751</v>
      </c>
      <c r="L28" s="11" t="n">
        <f aca="false">ROUND(V28*IF(F28="Long",1,-1)*(T28-G28),2)</f>
        <v>107.53</v>
      </c>
      <c r="M28" s="12" t="n">
        <v>0.63</v>
      </c>
      <c r="N28" s="11" t="n">
        <f aca="false">ROUND(L28-M28,2)</f>
        <v>106.9</v>
      </c>
      <c r="O28" s="13" t="n">
        <f aca="false">N28/X28</f>
        <v>2.14357329055544</v>
      </c>
      <c r="P28" s="14" t="str">
        <f aca="false">IF(N28&gt;0,"Win",IF(N28&lt;0,"Loss","Breakeven"))</f>
        <v>Win</v>
      </c>
      <c r="Q28" s="14" t="str">
        <f aca="false">IF(ROUND(K28,2)&gt;ROUND(J28,2),"Yes","No")</f>
        <v>Yes</v>
      </c>
      <c r="R28" s="6" t="s">
        <v>56</v>
      </c>
      <c r="S28" s="6" t="s">
        <v>113</v>
      </c>
      <c r="T28" s="17" t="n">
        <v>72907.6</v>
      </c>
      <c r="U28" s="6" t="s">
        <v>58</v>
      </c>
      <c r="V28" s="15" t="n">
        <v>0.0418</v>
      </c>
      <c r="W28" s="11" t="n">
        <f aca="false">ROUND(W27+N27,2)</f>
        <v>9974.84</v>
      </c>
      <c r="X28" s="11" t="n">
        <f aca="false">ROUND(W28*J28/100,2)</f>
        <v>49.87</v>
      </c>
      <c r="Y28" s="6"/>
      <c r="Z28" s="13" t="n">
        <f aca="false">Z27+O28</f>
        <v>2.42000877252484</v>
      </c>
      <c r="AA28" s="13" t="n">
        <f aca="false">MAX(AA27,Z28)</f>
        <v>2.42000877252484</v>
      </c>
      <c r="AB28" s="13" t="n">
        <f aca="false">Z28-AA28</f>
        <v>0</v>
      </c>
      <c r="AC28" s="11" t="n">
        <f aca="false">ROUND(W28+N28,2)</f>
        <v>10081.74</v>
      </c>
      <c r="AD28" s="11" t="n">
        <f aca="false">MAX(AD27,AC28)</f>
        <v>10266.68</v>
      </c>
      <c r="AE28" s="16" t="n">
        <f aca="false">(AC28-AD28)/AD28*100</f>
        <v>-1.80136129693339</v>
      </c>
      <c r="AF28" s="14" t="n">
        <f aca="false">IF(O28&gt;0,AF27+1,0)</f>
        <v>1</v>
      </c>
      <c r="AG28" s="14" t="n">
        <f aca="false">IF(O28&lt;0,AG27+1,0)</f>
        <v>0</v>
      </c>
    </row>
    <row r="29" customFormat="false" ht="15" hidden="false" customHeight="false" outlineLevel="0" collapsed="false">
      <c r="A29" s="6" t="s">
        <v>114</v>
      </c>
      <c r="B29" s="7" t="n">
        <v>46115</v>
      </c>
      <c r="C29" s="6" t="s">
        <v>71</v>
      </c>
      <c r="D29" s="6" t="s">
        <v>53</v>
      </c>
      <c r="E29" s="6" t="s">
        <v>62</v>
      </c>
      <c r="F29" s="6" t="s">
        <v>63</v>
      </c>
      <c r="G29" s="18" t="n">
        <v>1.08629</v>
      </c>
      <c r="H29" s="18" t="n">
        <v>1.08957</v>
      </c>
      <c r="I29" s="18" t="n">
        <v>1.07809</v>
      </c>
      <c r="J29" s="9" t="n">
        <v>1</v>
      </c>
      <c r="K29" s="10" t="n">
        <f aca="false">V29*ABS(G29-H29)/W29*100</f>
        <v>1.00002563049631</v>
      </c>
      <c r="L29" s="11" t="n">
        <f aca="false">ROUND(V29*IF(F29="Long",1,-1)*(T29-G29),2)</f>
        <v>-100.82</v>
      </c>
      <c r="M29" s="12" t="n">
        <v>2.46</v>
      </c>
      <c r="N29" s="11" t="n">
        <f aca="false">ROUND(L29-M29,2)</f>
        <v>-103.28</v>
      </c>
      <c r="O29" s="13" t="n">
        <f aca="false">N29/X29</f>
        <v>-1.02439992065066</v>
      </c>
      <c r="P29" s="14" t="str">
        <f aca="false">IF(N29&gt;0,"Win",IF(N29&lt;0,"Loss","Breakeven"))</f>
        <v>Loss</v>
      </c>
      <c r="Q29" s="14" t="str">
        <f aca="false">IF(ROUND(K29,2)&gt;ROUND(J29,2),"Yes","No")</f>
        <v>No</v>
      </c>
      <c r="R29" s="6" t="s">
        <v>73</v>
      </c>
      <c r="S29" s="6" t="s">
        <v>115</v>
      </c>
      <c r="T29" s="18" t="n">
        <v>1.08957</v>
      </c>
      <c r="U29" s="6" t="s">
        <v>65</v>
      </c>
      <c r="V29" s="15" t="n">
        <v>30737.8</v>
      </c>
      <c r="W29" s="11" t="n">
        <f aca="false">ROUND(W28+N28,2)</f>
        <v>10081.74</v>
      </c>
      <c r="X29" s="11" t="n">
        <f aca="false">ROUND(W29*J29/100,2)</f>
        <v>100.82</v>
      </c>
      <c r="Y29" s="6" t="s">
        <v>97</v>
      </c>
      <c r="Z29" s="13" t="n">
        <f aca="false">Z28+O29</f>
        <v>1.39560885187418</v>
      </c>
      <c r="AA29" s="13" t="n">
        <f aca="false">MAX(AA28,Z29)</f>
        <v>2.42000877252484</v>
      </c>
      <c r="AB29" s="13" t="n">
        <f aca="false">Z29-AA29</f>
        <v>-1.02439992065066</v>
      </c>
      <c r="AC29" s="11" t="n">
        <f aca="false">ROUND(W29+N29,2)</f>
        <v>9978.46</v>
      </c>
      <c r="AD29" s="11" t="n">
        <f aca="false">MAX(AD28,AC29)</f>
        <v>10266.68</v>
      </c>
      <c r="AE29" s="16" t="n">
        <f aca="false">(AC29-AD29)/AD29*100</f>
        <v>-2.80733401644934</v>
      </c>
      <c r="AF29" s="14" t="n">
        <f aca="false">IF(O29&gt;0,AF28+1,0)</f>
        <v>0</v>
      </c>
      <c r="AG29" s="14" t="n">
        <f aca="false">IF(O29&lt;0,AG28+1,0)</f>
        <v>1</v>
      </c>
    </row>
    <row r="30" customFormat="false" ht="15" hidden="false" customHeight="false" outlineLevel="0" collapsed="false">
      <c r="A30" s="6" t="s">
        <v>116</v>
      </c>
      <c r="B30" s="7" t="n">
        <v>46119</v>
      </c>
      <c r="C30" s="6" t="s">
        <v>60</v>
      </c>
      <c r="D30" s="6" t="s">
        <v>61</v>
      </c>
      <c r="E30" s="6" t="s">
        <v>62</v>
      </c>
      <c r="F30" s="6" t="s">
        <v>55</v>
      </c>
      <c r="G30" s="17" t="n">
        <v>69354.5</v>
      </c>
      <c r="H30" s="17" t="n">
        <v>68613</v>
      </c>
      <c r="I30" s="17" t="s">
        <v>92</v>
      </c>
      <c r="J30" s="9" t="n">
        <v>0.5</v>
      </c>
      <c r="K30" s="10" t="n">
        <f aca="false">V30*ABS(G30-H30)/W30*100</f>
        <v>0.49936362925742</v>
      </c>
      <c r="L30" s="11" t="n">
        <f aca="false">ROUND(V30*IF(F30="Long",1,-1)*(T30-G30),2)</f>
        <v>59.79</v>
      </c>
      <c r="M30" s="12" t="n">
        <v>1.01</v>
      </c>
      <c r="N30" s="11" t="n">
        <f aca="false">ROUND(L30-M30,2)</f>
        <v>58.78</v>
      </c>
      <c r="O30" s="13" t="n">
        <f aca="false">N30/X30</f>
        <v>1.17819202244939</v>
      </c>
      <c r="P30" s="14" t="str">
        <f aca="false">IF(N30&gt;0,"Win",IF(N30&lt;0,"Loss","Breakeven"))</f>
        <v>Win</v>
      </c>
      <c r="Q30" s="14" t="str">
        <f aca="false">IF(ROUND(K30,2)&gt;ROUND(J30,2),"Yes","No")</f>
        <v>No</v>
      </c>
      <c r="R30" s="6" t="s">
        <v>56</v>
      </c>
      <c r="S30" s="6" t="s">
        <v>57</v>
      </c>
      <c r="T30" s="17" t="n">
        <v>70244.3</v>
      </c>
      <c r="U30" s="6" t="s">
        <v>93</v>
      </c>
      <c r="V30" s="15" t="n">
        <v>0.0672</v>
      </c>
      <c r="W30" s="11" t="n">
        <f aca="false">ROUND(W29+N29,2)</f>
        <v>9978.46</v>
      </c>
      <c r="X30" s="11" t="n">
        <f aca="false">ROUND(W30*J30/100,2)</f>
        <v>49.89</v>
      </c>
      <c r="Y30" s="6"/>
      <c r="Z30" s="13" t="n">
        <f aca="false">Z29+O30</f>
        <v>2.57380087432357</v>
      </c>
      <c r="AA30" s="13" t="n">
        <f aca="false">MAX(AA29,Z30)</f>
        <v>2.57380087432357</v>
      </c>
      <c r="AB30" s="13" t="n">
        <f aca="false">Z30-AA30</f>
        <v>0</v>
      </c>
      <c r="AC30" s="11" t="n">
        <f aca="false">ROUND(W30+N30,2)</f>
        <v>10037.24</v>
      </c>
      <c r="AD30" s="11" t="n">
        <f aca="false">MAX(AD29,AC30)</f>
        <v>10266.68</v>
      </c>
      <c r="AE30" s="16" t="n">
        <f aca="false">(AC30-AD30)/AD30*100</f>
        <v>-2.23480229246456</v>
      </c>
      <c r="AF30" s="14" t="n">
        <f aca="false">IF(O30&gt;0,AF29+1,0)</f>
        <v>1</v>
      </c>
      <c r="AG30" s="14" t="n">
        <f aca="false">IF(O30&lt;0,AG29+1,0)</f>
        <v>0</v>
      </c>
    </row>
    <row r="31" customFormat="false" ht="15" hidden="false" customHeight="false" outlineLevel="0" collapsed="false">
      <c r="A31" s="6" t="s">
        <v>117</v>
      </c>
      <c r="B31" s="7" t="n">
        <v>46120</v>
      </c>
      <c r="C31" s="6" t="s">
        <v>52</v>
      </c>
      <c r="D31" s="6" t="s">
        <v>53</v>
      </c>
      <c r="E31" s="6" t="s">
        <v>62</v>
      </c>
      <c r="F31" s="6" t="s">
        <v>55</v>
      </c>
      <c r="G31" s="8" t="n">
        <v>147.538</v>
      </c>
      <c r="H31" s="8" t="n">
        <v>147.127</v>
      </c>
      <c r="I31" s="8" t="n">
        <v>148.566</v>
      </c>
      <c r="J31" s="9" t="n">
        <v>1</v>
      </c>
      <c r="K31" s="10" t="n">
        <f aca="false">V31*ABS(G31-H31)/W31*100</f>
        <v>0.999938230031367</v>
      </c>
      <c r="L31" s="11" t="n">
        <f aca="false">ROUND(V31*IF(F31="Long",1,-1)*(T31-G31),2)</f>
        <v>-100.37</v>
      </c>
      <c r="M31" s="12" t="n">
        <v>2.44</v>
      </c>
      <c r="N31" s="11" t="n">
        <f aca="false">ROUND(L31-M31,2)</f>
        <v>-102.81</v>
      </c>
      <c r="O31" s="13" t="n">
        <f aca="false">N31/X31</f>
        <v>-1.02431005280462</v>
      </c>
      <c r="P31" s="14" t="str">
        <f aca="false">IF(N31&gt;0,"Win",IF(N31&lt;0,"Loss","Breakeven"))</f>
        <v>Loss</v>
      </c>
      <c r="Q31" s="14" t="str">
        <f aca="false">IF(ROUND(K31,2)&gt;ROUND(J31,2),"Yes","No")</f>
        <v>No</v>
      </c>
      <c r="R31" s="6" t="s">
        <v>56</v>
      </c>
      <c r="S31" s="6" t="s">
        <v>64</v>
      </c>
      <c r="T31" s="8" t="n">
        <v>147.127</v>
      </c>
      <c r="U31" s="6" t="s">
        <v>65</v>
      </c>
      <c r="V31" s="15" t="n">
        <v>244.2</v>
      </c>
      <c r="W31" s="11" t="n">
        <f aca="false">ROUND(W30+N30,2)</f>
        <v>10037.24</v>
      </c>
      <c r="X31" s="11" t="n">
        <f aca="false">ROUND(W31*J31/100,2)</f>
        <v>100.37</v>
      </c>
      <c r="Y31" s="6"/>
      <c r="Z31" s="13" t="n">
        <f aca="false">Z30+O31</f>
        <v>1.54949082151894</v>
      </c>
      <c r="AA31" s="13" t="n">
        <f aca="false">MAX(AA30,Z31)</f>
        <v>2.57380087432357</v>
      </c>
      <c r="AB31" s="13" t="n">
        <f aca="false">Z31-AA31</f>
        <v>-1.02431005280462</v>
      </c>
      <c r="AC31" s="11" t="n">
        <f aca="false">ROUND(W31+N31,2)</f>
        <v>9934.43</v>
      </c>
      <c r="AD31" s="11" t="n">
        <f aca="false">MAX(AD30,AC31)</f>
        <v>10266.68</v>
      </c>
      <c r="AE31" s="16" t="n">
        <f aca="false">(AC31-AD31)/AD31*100</f>
        <v>-3.23619709584793</v>
      </c>
      <c r="AF31" s="14" t="n">
        <f aca="false">IF(O31&gt;0,AF30+1,0)</f>
        <v>0</v>
      </c>
      <c r="AG31" s="14" t="n">
        <f aca="false">IF(O31&lt;0,AG30+1,0)</f>
        <v>1</v>
      </c>
    </row>
    <row r="32" customFormat="false" ht="15" hidden="false" customHeight="false" outlineLevel="0" collapsed="false">
      <c r="A32" s="6" t="s">
        <v>118</v>
      </c>
      <c r="B32" s="7" t="n">
        <v>46121</v>
      </c>
      <c r="C32" s="6" t="s">
        <v>60</v>
      </c>
      <c r="D32" s="6" t="s">
        <v>61</v>
      </c>
      <c r="E32" s="6" t="s">
        <v>62</v>
      </c>
      <c r="F32" s="6" t="s">
        <v>55</v>
      </c>
      <c r="G32" s="17" t="n">
        <v>70126.7</v>
      </c>
      <c r="H32" s="17" t="n">
        <v>68838.4</v>
      </c>
      <c r="I32" s="17" t="n">
        <v>72059.1</v>
      </c>
      <c r="J32" s="9" t="n">
        <v>0.5</v>
      </c>
      <c r="K32" s="10" t="n">
        <f aca="false">V32*ABS(G32-H32)/W32*100</f>
        <v>0.499269208198156</v>
      </c>
      <c r="L32" s="11" t="n">
        <f aca="false">ROUND(V32*IF(F32="Long",1,-1)*(T32-G32),2)</f>
        <v>-49.6</v>
      </c>
      <c r="M32" s="12" t="n">
        <v>0.58</v>
      </c>
      <c r="N32" s="11" t="n">
        <f aca="false">ROUND(L32-M32,2)</f>
        <v>-50.18</v>
      </c>
      <c r="O32" s="13" t="n">
        <f aca="false">N32/X32</f>
        <v>-1.01026776726394</v>
      </c>
      <c r="P32" s="14" t="str">
        <f aca="false">IF(N32&gt;0,"Win",IF(N32&lt;0,"Loss","Breakeven"))</f>
        <v>Loss</v>
      </c>
      <c r="Q32" s="14" t="str">
        <f aca="false">IF(ROUND(K32,2)&gt;ROUND(J32,2),"Yes","No")</f>
        <v>No</v>
      </c>
      <c r="R32" s="6" t="s">
        <v>56</v>
      </c>
      <c r="S32" s="6" t="s">
        <v>64</v>
      </c>
      <c r="T32" s="17" t="n">
        <v>68838.4</v>
      </c>
      <c r="U32" s="6" t="s">
        <v>65</v>
      </c>
      <c r="V32" s="15" t="n">
        <v>0.0385</v>
      </c>
      <c r="W32" s="11" t="n">
        <f aca="false">ROUND(W31+N31,2)</f>
        <v>9934.43</v>
      </c>
      <c r="X32" s="11" t="n">
        <f aca="false">ROUND(W32*J32/100,2)</f>
        <v>49.67</v>
      </c>
      <c r="Y32" s="6"/>
      <c r="Z32" s="13" t="n">
        <f aca="false">Z31+O32</f>
        <v>0.539223054255002</v>
      </c>
      <c r="AA32" s="13" t="n">
        <f aca="false">MAX(AA31,Z32)</f>
        <v>2.57380087432357</v>
      </c>
      <c r="AB32" s="13" t="n">
        <f aca="false">Z32-AA32</f>
        <v>-2.03457782006856</v>
      </c>
      <c r="AC32" s="11" t="n">
        <f aca="false">ROUND(W32+N32,2)</f>
        <v>9884.25</v>
      </c>
      <c r="AD32" s="11" t="n">
        <f aca="false">MAX(AD31,AC32)</f>
        <v>10266.68</v>
      </c>
      <c r="AE32" s="16" t="n">
        <f aca="false">(AC32-AD32)/AD32*100</f>
        <v>-3.72496269485365</v>
      </c>
      <c r="AF32" s="14" t="n">
        <f aca="false">IF(O32&gt;0,AF31+1,0)</f>
        <v>0</v>
      </c>
      <c r="AG32" s="14" t="n">
        <f aca="false">IF(O32&lt;0,AG31+1,0)</f>
        <v>2</v>
      </c>
    </row>
    <row r="33" customFormat="false" ht="15" hidden="false" customHeight="false" outlineLevel="0" collapsed="false">
      <c r="A33" s="6" t="s">
        <v>119</v>
      </c>
      <c r="B33" s="7" t="n">
        <v>46121</v>
      </c>
      <c r="C33" s="6" t="s">
        <v>60</v>
      </c>
      <c r="D33" s="6" t="s">
        <v>68</v>
      </c>
      <c r="E33" s="6" t="s">
        <v>69</v>
      </c>
      <c r="F33" s="6" t="s">
        <v>55</v>
      </c>
      <c r="G33" s="17" t="n">
        <v>70304.3</v>
      </c>
      <c r="H33" s="17" t="n">
        <v>69319.4</v>
      </c>
      <c r="I33" s="17" t="n">
        <v>72077.1</v>
      </c>
      <c r="J33" s="9" t="n">
        <v>0.5</v>
      </c>
      <c r="K33" s="10" t="n">
        <f aca="false">V33*ABS(G33-H33)/W33*100</f>
        <v>0.499213293876626</v>
      </c>
      <c r="L33" s="11" t="n">
        <f aca="false">ROUND(V33*IF(F33="Long",1,-1)*(T33-G33),2)</f>
        <v>88.82</v>
      </c>
      <c r="M33" s="12" t="n">
        <v>0.75</v>
      </c>
      <c r="N33" s="11" t="n">
        <f aca="false">ROUND(L33-M33,2)</f>
        <v>88.07</v>
      </c>
      <c r="O33" s="13" t="n">
        <f aca="false">N33/X33</f>
        <v>1.78207203561311</v>
      </c>
      <c r="P33" s="14" t="str">
        <f aca="false">IF(N33&gt;0,"Win",IF(N33&lt;0,"Loss","Breakeven"))</f>
        <v>Win</v>
      </c>
      <c r="Q33" s="14" t="str">
        <f aca="false">IF(ROUND(K33,2)&gt;ROUND(J33,2),"Yes","No")</f>
        <v>No</v>
      </c>
      <c r="R33" s="6" t="s">
        <v>73</v>
      </c>
      <c r="S33" s="6" t="s">
        <v>120</v>
      </c>
      <c r="T33" s="17" t="n">
        <v>72077.1</v>
      </c>
      <c r="U33" s="6" t="s">
        <v>58</v>
      </c>
      <c r="V33" s="15" t="n">
        <v>0.0501</v>
      </c>
      <c r="W33" s="11" t="n">
        <f aca="false">ROUND(W32+N32,2)</f>
        <v>9884.25</v>
      </c>
      <c r="X33" s="11" t="n">
        <f aca="false">ROUND(W33*J33/100,2)</f>
        <v>49.42</v>
      </c>
      <c r="Y33" s="6" t="s">
        <v>75</v>
      </c>
      <c r="Z33" s="13" t="n">
        <f aca="false">Z32+O33</f>
        <v>2.32129508986811</v>
      </c>
      <c r="AA33" s="13" t="n">
        <f aca="false">MAX(AA32,Z33)</f>
        <v>2.57380087432357</v>
      </c>
      <c r="AB33" s="13" t="n">
        <f aca="false">Z33-AA33</f>
        <v>-0.252505784455453</v>
      </c>
      <c r="AC33" s="11" t="n">
        <f aca="false">ROUND(W33+N33,2)</f>
        <v>9972.32</v>
      </c>
      <c r="AD33" s="11" t="n">
        <f aca="false">MAX(AD32,AC33)</f>
        <v>10266.68</v>
      </c>
      <c r="AE33" s="16" t="n">
        <f aca="false">(AC33-AD33)/AD33*100</f>
        <v>-2.86713913358555</v>
      </c>
      <c r="AF33" s="14" t="n">
        <f aca="false">IF(O33&gt;0,AF32+1,0)</f>
        <v>1</v>
      </c>
      <c r="AG33" s="14" t="n">
        <f aca="false">IF(O33&lt;0,AG32+1,0)</f>
        <v>0</v>
      </c>
    </row>
    <row r="34" customFormat="false" ht="15" hidden="false" customHeight="false" outlineLevel="0" collapsed="false">
      <c r="A34" s="6" t="s">
        <v>121</v>
      </c>
      <c r="B34" s="7" t="n">
        <v>46122</v>
      </c>
      <c r="C34" s="6" t="s">
        <v>102</v>
      </c>
      <c r="D34" s="6" t="s">
        <v>68</v>
      </c>
      <c r="E34" s="6" t="s">
        <v>62</v>
      </c>
      <c r="F34" s="6" t="s">
        <v>55</v>
      </c>
      <c r="G34" s="18" t="n">
        <v>1.27765</v>
      </c>
      <c r="H34" s="18" t="n">
        <v>1.27388</v>
      </c>
      <c r="I34" s="18" t="n">
        <v>1.28707</v>
      </c>
      <c r="J34" s="9" t="n">
        <v>1</v>
      </c>
      <c r="K34" s="10" t="n">
        <f aca="false">V34*ABS(G34-H34)/W34*100</f>
        <v>0.999967594301039</v>
      </c>
      <c r="L34" s="11" t="n">
        <f aca="false">ROUND(V34*IF(F34="Long",1,-1)*(T34-G34),2)</f>
        <v>-107.66</v>
      </c>
      <c r="M34" s="12" t="n">
        <v>3.17</v>
      </c>
      <c r="N34" s="11" t="n">
        <f aca="false">ROUND(L34-M34,2)</f>
        <v>-110.83</v>
      </c>
      <c r="O34" s="13" t="n">
        <f aca="false">N34/X34</f>
        <v>-1.11141195346972</v>
      </c>
      <c r="P34" s="14" t="str">
        <f aca="false">IF(N34&gt;0,"Win",IF(N34&lt;0,"Loss","Breakeven"))</f>
        <v>Loss</v>
      </c>
      <c r="Q34" s="14" t="str">
        <f aca="false">IF(ROUND(K34,2)&gt;ROUND(J34,2),"Yes","No")</f>
        <v>No</v>
      </c>
      <c r="R34" s="6" t="s">
        <v>56</v>
      </c>
      <c r="S34" s="6" t="s">
        <v>64</v>
      </c>
      <c r="T34" s="18" t="n">
        <v>1.27358</v>
      </c>
      <c r="U34" s="6" t="s">
        <v>96</v>
      </c>
      <c r="V34" s="15" t="n">
        <v>26450.92</v>
      </c>
      <c r="W34" s="11" t="n">
        <f aca="false">ROUND(W33+N33,2)</f>
        <v>9972.32</v>
      </c>
      <c r="X34" s="11" t="n">
        <f aca="false">ROUND(W34*J34/100,2)</f>
        <v>99.72</v>
      </c>
      <c r="Y34" s="6"/>
      <c r="Z34" s="13" t="n">
        <f aca="false">Z33+O34</f>
        <v>1.2098831363984</v>
      </c>
      <c r="AA34" s="13" t="n">
        <f aca="false">MAX(AA33,Z34)</f>
        <v>2.57380087432357</v>
      </c>
      <c r="AB34" s="13" t="n">
        <f aca="false">Z34-AA34</f>
        <v>-1.36391773792517</v>
      </c>
      <c r="AC34" s="11" t="n">
        <f aca="false">ROUND(W34+N34,2)</f>
        <v>9861.49</v>
      </c>
      <c r="AD34" s="11" t="n">
        <f aca="false">MAX(AD33,AC34)</f>
        <v>10266.68</v>
      </c>
      <c r="AE34" s="16" t="n">
        <f aca="false">(AC34-AD34)/AD34*100</f>
        <v>-3.94665071863544</v>
      </c>
      <c r="AF34" s="14" t="n">
        <f aca="false">IF(O34&gt;0,AF33+1,0)</f>
        <v>0</v>
      </c>
      <c r="AG34" s="14" t="n">
        <f aca="false">IF(O34&lt;0,AG33+1,0)</f>
        <v>1</v>
      </c>
    </row>
    <row r="35" customFormat="false" ht="15" hidden="false" customHeight="false" outlineLevel="0" collapsed="false">
      <c r="A35" s="6" t="s">
        <v>122</v>
      </c>
      <c r="B35" s="7" t="n">
        <v>46126</v>
      </c>
      <c r="C35" s="6" t="s">
        <v>52</v>
      </c>
      <c r="D35" s="6" t="s">
        <v>61</v>
      </c>
      <c r="E35" s="6" t="s">
        <v>91</v>
      </c>
      <c r="F35" s="6" t="s">
        <v>63</v>
      </c>
      <c r="G35" s="8" t="n">
        <v>147.421</v>
      </c>
      <c r="H35" s="8" t="n">
        <v>147.743</v>
      </c>
      <c r="I35" s="8" t="n">
        <v>146.906</v>
      </c>
      <c r="J35" s="9" t="n">
        <v>1</v>
      </c>
      <c r="K35" s="10" t="n">
        <f aca="false">V35*ABS(G35-H35)/W35*100</f>
        <v>0.999943010640388</v>
      </c>
      <c r="L35" s="11" t="n">
        <f aca="false">ROUND(V35*IF(F35="Long",1,-1)*(T35-G35),2)</f>
        <v>157.71</v>
      </c>
      <c r="M35" s="12" t="n">
        <v>3.06</v>
      </c>
      <c r="N35" s="11" t="n">
        <f aca="false">ROUND(L35-M35,2)</f>
        <v>154.65</v>
      </c>
      <c r="O35" s="13" t="n">
        <f aca="false">N35/X35</f>
        <v>1.56829936111956</v>
      </c>
      <c r="P35" s="14" t="str">
        <f aca="false">IF(N35&gt;0,"Win",IF(N35&lt;0,"Loss","Breakeven"))</f>
        <v>Win</v>
      </c>
      <c r="Q35" s="14" t="str">
        <f aca="false">IF(ROUND(K35,2)&gt;ROUND(J35,2),"Yes","No")</f>
        <v>No</v>
      </c>
      <c r="R35" s="6" t="s">
        <v>56</v>
      </c>
      <c r="S35" s="6" t="s">
        <v>57</v>
      </c>
      <c r="T35" s="8" t="n">
        <v>146.906</v>
      </c>
      <c r="U35" s="6" t="s">
        <v>58</v>
      </c>
      <c r="V35" s="15" t="n">
        <v>306.24</v>
      </c>
      <c r="W35" s="11" t="n">
        <f aca="false">ROUND(W34+N34,2)</f>
        <v>9861.49</v>
      </c>
      <c r="X35" s="11" t="n">
        <f aca="false">ROUND(W35*J35/100,2)</f>
        <v>98.61</v>
      </c>
      <c r="Y35" s="6"/>
      <c r="Z35" s="13" t="n">
        <f aca="false">Z34+O35</f>
        <v>2.77818249751796</v>
      </c>
      <c r="AA35" s="13" t="n">
        <f aca="false">MAX(AA34,Z35)</f>
        <v>2.77818249751796</v>
      </c>
      <c r="AB35" s="13" t="n">
        <f aca="false">Z35-AA35</f>
        <v>0</v>
      </c>
      <c r="AC35" s="11" t="n">
        <f aca="false">ROUND(W35+N35,2)</f>
        <v>10016.14</v>
      </c>
      <c r="AD35" s="11" t="n">
        <f aca="false">MAX(AD34,AC35)</f>
        <v>10266.68</v>
      </c>
      <c r="AE35" s="16" t="n">
        <f aca="false">(AC35-AD35)/AD35*100</f>
        <v>-2.44032150607598</v>
      </c>
      <c r="AF35" s="14" t="n">
        <f aca="false">IF(O35&gt;0,AF34+1,0)</f>
        <v>1</v>
      </c>
      <c r="AG35" s="14" t="n">
        <f aca="false">IF(O35&lt;0,AG34+1,0)</f>
        <v>0</v>
      </c>
    </row>
    <row r="36" customFormat="false" ht="15" hidden="false" customHeight="false" outlineLevel="0" collapsed="false">
      <c r="A36" s="6" t="s">
        <v>123</v>
      </c>
      <c r="B36" s="7" t="n">
        <v>46127</v>
      </c>
      <c r="C36" s="6" t="s">
        <v>52</v>
      </c>
      <c r="D36" s="6" t="s">
        <v>68</v>
      </c>
      <c r="E36" s="6" t="s">
        <v>91</v>
      </c>
      <c r="F36" s="6" t="s">
        <v>55</v>
      </c>
      <c r="G36" s="8" t="n">
        <v>149.371</v>
      </c>
      <c r="H36" s="8" t="n">
        <v>148.796</v>
      </c>
      <c r="I36" s="8" t="n">
        <v>150.234</v>
      </c>
      <c r="J36" s="9" t="n">
        <v>1</v>
      </c>
      <c r="K36" s="10" t="n">
        <f aca="false">V36*ABS(G36-H36)/W36*100</f>
        <v>1.29993190989746</v>
      </c>
      <c r="L36" s="11" t="n">
        <f aca="false">ROUND(V36*IF(F36="Long",1,-1)*(T36-G36),2)</f>
        <v>-130.2</v>
      </c>
      <c r="M36" s="12" t="n">
        <v>2.26</v>
      </c>
      <c r="N36" s="11" t="n">
        <f aca="false">ROUND(L36-M36,2)</f>
        <v>-132.46</v>
      </c>
      <c r="O36" s="13" t="n">
        <f aca="false">N36/X36</f>
        <v>-1.32248402555911</v>
      </c>
      <c r="P36" s="14" t="str">
        <f aca="false">IF(N36&gt;0,"Win",IF(N36&lt;0,"Loss","Breakeven"))</f>
        <v>Loss</v>
      </c>
      <c r="Q36" s="14" t="str">
        <f aca="false">IF(ROUND(K36,2)&gt;ROUND(J36,2),"Yes","No")</f>
        <v>Yes</v>
      </c>
      <c r="R36" s="6" t="s">
        <v>73</v>
      </c>
      <c r="S36" s="6" t="s">
        <v>124</v>
      </c>
      <c r="T36" s="8" t="n">
        <v>148.796</v>
      </c>
      <c r="U36" s="6" t="s">
        <v>65</v>
      </c>
      <c r="V36" s="15" t="n">
        <v>226.44</v>
      </c>
      <c r="W36" s="11" t="n">
        <f aca="false">ROUND(W35+N35,2)</f>
        <v>10016.14</v>
      </c>
      <c r="X36" s="11" t="n">
        <f aca="false">ROUND(W36*J36/100,2)</f>
        <v>100.16</v>
      </c>
      <c r="Y36" s="6" t="s">
        <v>125</v>
      </c>
      <c r="Z36" s="13" t="n">
        <f aca="false">Z35+O36</f>
        <v>1.45569847195886</v>
      </c>
      <c r="AA36" s="13" t="n">
        <f aca="false">MAX(AA35,Z36)</f>
        <v>2.77818249751796</v>
      </c>
      <c r="AB36" s="13" t="n">
        <f aca="false">Z36-AA36</f>
        <v>-1.32248402555911</v>
      </c>
      <c r="AC36" s="11" t="n">
        <f aca="false">ROUND(W36+N36,2)</f>
        <v>9883.68</v>
      </c>
      <c r="AD36" s="11" t="n">
        <f aca="false">MAX(AD35,AC36)</f>
        <v>10266.68</v>
      </c>
      <c r="AE36" s="16" t="n">
        <f aca="false">(AC36-AD36)/AD36*100</f>
        <v>-3.73051463569528</v>
      </c>
      <c r="AF36" s="14" t="n">
        <f aca="false">IF(O36&gt;0,AF35+1,0)</f>
        <v>0</v>
      </c>
      <c r="AG36" s="14" t="n">
        <f aca="false">IF(O36&lt;0,AG35+1,0)</f>
        <v>1</v>
      </c>
    </row>
    <row r="37" customFormat="false" ht="15" hidden="false" customHeight="false" outlineLevel="0" collapsed="false">
      <c r="A37" s="6" t="s">
        <v>126</v>
      </c>
      <c r="B37" s="7" t="n">
        <v>46128</v>
      </c>
      <c r="C37" s="6" t="s">
        <v>102</v>
      </c>
      <c r="D37" s="6" t="s">
        <v>61</v>
      </c>
      <c r="E37" s="6" t="s">
        <v>91</v>
      </c>
      <c r="F37" s="6" t="s">
        <v>55</v>
      </c>
      <c r="G37" s="18" t="n">
        <v>1.29957</v>
      </c>
      <c r="H37" s="18" t="n">
        <v>1.29624</v>
      </c>
      <c r="I37" s="18" t="s">
        <v>92</v>
      </c>
      <c r="J37" s="9" t="n">
        <v>1</v>
      </c>
      <c r="K37" s="10" t="n">
        <f aca="false">V37*ABS(G37-H37)/W37*100</f>
        <v>1.00003231994556</v>
      </c>
      <c r="L37" s="11" t="n">
        <f aca="false">ROUND(V37*IF(F37="Long",1,-1)*(T37-G37),2)</f>
        <v>98.84</v>
      </c>
      <c r="M37" s="12" t="n">
        <v>3.56</v>
      </c>
      <c r="N37" s="11" t="n">
        <f aca="false">ROUND(L37-M37,2)</f>
        <v>95.28</v>
      </c>
      <c r="O37" s="13" t="n">
        <f aca="false">N37/X37</f>
        <v>0.96398219344395</v>
      </c>
      <c r="P37" s="14" t="str">
        <f aca="false">IF(N37&gt;0,"Win",IF(N37&lt;0,"Loss","Breakeven"))</f>
        <v>Win</v>
      </c>
      <c r="Q37" s="14" t="str">
        <f aca="false">IF(ROUND(K37,2)&gt;ROUND(J37,2),"Yes","No")</f>
        <v>No</v>
      </c>
      <c r="R37" s="6" t="s">
        <v>56</v>
      </c>
      <c r="S37" s="6" t="s">
        <v>57</v>
      </c>
      <c r="T37" s="18" t="n">
        <v>1.3029</v>
      </c>
      <c r="U37" s="6" t="s">
        <v>93</v>
      </c>
      <c r="V37" s="15" t="n">
        <v>29681.68</v>
      </c>
      <c r="W37" s="11" t="n">
        <f aca="false">ROUND(W36+N36,2)</f>
        <v>9883.68</v>
      </c>
      <c r="X37" s="11" t="n">
        <f aca="false">ROUND(W37*J37/100,2)</f>
        <v>98.84</v>
      </c>
      <c r="Y37" s="6"/>
      <c r="Z37" s="13" t="n">
        <f aca="false">Z36+O37</f>
        <v>2.41968066540281</v>
      </c>
      <c r="AA37" s="13" t="n">
        <f aca="false">MAX(AA36,Z37)</f>
        <v>2.77818249751796</v>
      </c>
      <c r="AB37" s="13" t="n">
        <f aca="false">Z37-AA37</f>
        <v>-0.358501832115156</v>
      </c>
      <c r="AC37" s="11" t="n">
        <f aca="false">ROUND(W37+N37,2)</f>
        <v>9978.96</v>
      </c>
      <c r="AD37" s="11" t="n">
        <f aca="false">MAX(AD36,AC37)</f>
        <v>10266.68</v>
      </c>
      <c r="AE37" s="16" t="n">
        <f aca="false">(AC37-AD37)/AD37*100</f>
        <v>-2.80246389290405</v>
      </c>
      <c r="AF37" s="14" t="n">
        <f aca="false">IF(O37&gt;0,AF36+1,0)</f>
        <v>1</v>
      </c>
      <c r="AG37" s="14" t="n">
        <f aca="false">IF(O37&lt;0,AG36+1,0)</f>
        <v>0</v>
      </c>
    </row>
    <row r="38" customFormat="false" ht="15" hidden="false" customHeight="false" outlineLevel="0" collapsed="false">
      <c r="A38" s="6" t="s">
        <v>127</v>
      </c>
      <c r="B38" s="7" t="n">
        <v>46129</v>
      </c>
      <c r="C38" s="6" t="s">
        <v>67</v>
      </c>
      <c r="D38" s="6" t="s">
        <v>83</v>
      </c>
      <c r="E38" s="6" t="s">
        <v>54</v>
      </c>
      <c r="F38" s="6" t="s">
        <v>63</v>
      </c>
      <c r="G38" s="9" t="n">
        <v>2643.6</v>
      </c>
      <c r="H38" s="9" t="n">
        <v>2650.69</v>
      </c>
      <c r="I38" s="9" t="n">
        <v>2625.88</v>
      </c>
      <c r="J38" s="9" t="n">
        <v>1</v>
      </c>
      <c r="K38" s="10" t="n">
        <f aca="false">V38*ABS(G38-H38)/W38*100</f>
        <v>0.999666297890783</v>
      </c>
      <c r="L38" s="11" t="n">
        <f aca="false">ROUND(V38*IF(F38="Long",1,-1)*(T38-G38),2)</f>
        <v>-99.76</v>
      </c>
      <c r="M38" s="12" t="n">
        <v>3.52</v>
      </c>
      <c r="N38" s="11" t="n">
        <f aca="false">ROUND(L38-M38,2)</f>
        <v>-103.28</v>
      </c>
      <c r="O38" s="13" t="n">
        <f aca="false">N38/X38</f>
        <v>-1.03497344423289</v>
      </c>
      <c r="P38" s="14" t="str">
        <f aca="false">IF(N38&gt;0,"Win",IF(N38&lt;0,"Loss","Breakeven"))</f>
        <v>Loss</v>
      </c>
      <c r="Q38" s="14" t="str">
        <f aca="false">IF(ROUND(K38,2)&gt;ROUND(J38,2),"Yes","No")</f>
        <v>No</v>
      </c>
      <c r="R38" s="6" t="s">
        <v>56</v>
      </c>
      <c r="S38" s="6" t="s">
        <v>64</v>
      </c>
      <c r="T38" s="9" t="n">
        <v>2650.69</v>
      </c>
      <c r="U38" s="6" t="s">
        <v>65</v>
      </c>
      <c r="V38" s="15" t="n">
        <v>14.07</v>
      </c>
      <c r="W38" s="11" t="n">
        <f aca="false">ROUND(W37+N37,2)</f>
        <v>9978.96</v>
      </c>
      <c r="X38" s="11" t="n">
        <f aca="false">ROUND(W38*J38/100,2)</f>
        <v>99.79</v>
      </c>
      <c r="Y38" s="6"/>
      <c r="Z38" s="13" t="n">
        <f aca="false">Z37+O38</f>
        <v>1.38470722116992</v>
      </c>
      <c r="AA38" s="13" t="n">
        <f aca="false">MAX(AA37,Z38)</f>
        <v>2.77818249751796</v>
      </c>
      <c r="AB38" s="13" t="n">
        <f aca="false">Z38-AA38</f>
        <v>-1.39347527634805</v>
      </c>
      <c r="AC38" s="11" t="n">
        <f aca="false">ROUND(W38+N38,2)</f>
        <v>9875.68</v>
      </c>
      <c r="AD38" s="11" t="n">
        <f aca="false">MAX(AD37,AC38)</f>
        <v>10266.68</v>
      </c>
      <c r="AE38" s="16" t="n">
        <f aca="false">(AC38-AD38)/AD38*100</f>
        <v>-3.80843661241998</v>
      </c>
      <c r="AF38" s="14" t="n">
        <f aca="false">IF(O38&gt;0,AF37+1,0)</f>
        <v>0</v>
      </c>
      <c r="AG38" s="14" t="n">
        <f aca="false">IF(O38&lt;0,AG37+1,0)</f>
        <v>1</v>
      </c>
    </row>
    <row r="39" customFormat="false" ht="15" hidden="false" customHeight="false" outlineLevel="0" collapsed="false">
      <c r="A39" s="6" t="s">
        <v>128</v>
      </c>
      <c r="B39" s="7" t="n">
        <v>46133</v>
      </c>
      <c r="C39" s="6" t="s">
        <v>67</v>
      </c>
      <c r="D39" s="6" t="s">
        <v>61</v>
      </c>
      <c r="E39" s="6" t="s">
        <v>62</v>
      </c>
      <c r="F39" s="6" t="s">
        <v>55</v>
      </c>
      <c r="G39" s="9" t="n">
        <v>2676.15</v>
      </c>
      <c r="H39" s="9" t="n">
        <v>2662.99</v>
      </c>
      <c r="I39" s="9" t="n">
        <v>2694.57</v>
      </c>
      <c r="J39" s="9" t="n">
        <v>1</v>
      </c>
      <c r="K39" s="10" t="n">
        <f aca="false">V39*ABS(G39-H39)/W39*100</f>
        <v>0.99942484973189</v>
      </c>
      <c r="L39" s="11" t="n">
        <f aca="false">ROUND(V39*IF(F39="Long",1,-1)*(T39-G39),2)</f>
        <v>138.15</v>
      </c>
      <c r="M39" s="12" t="n">
        <v>1.88</v>
      </c>
      <c r="N39" s="11" t="n">
        <f aca="false">ROUND(L39-M39,2)</f>
        <v>136.27</v>
      </c>
      <c r="O39" s="13" t="n">
        <f aca="false">N39/X39</f>
        <v>1.37980963953017</v>
      </c>
      <c r="P39" s="14" t="str">
        <f aca="false">IF(N39&gt;0,"Win",IF(N39&lt;0,"Loss","Breakeven"))</f>
        <v>Win</v>
      </c>
      <c r="Q39" s="14" t="str">
        <f aca="false">IF(ROUND(K39,2)&gt;ROUND(J39,2),"Yes","No")</f>
        <v>No</v>
      </c>
      <c r="R39" s="6" t="s">
        <v>56</v>
      </c>
      <c r="S39" s="6" t="s">
        <v>57</v>
      </c>
      <c r="T39" s="9" t="n">
        <v>2694.57</v>
      </c>
      <c r="U39" s="6" t="s">
        <v>58</v>
      </c>
      <c r="V39" s="15" t="n">
        <v>7.5</v>
      </c>
      <c r="W39" s="11" t="n">
        <f aca="false">ROUND(W38+N38,2)</f>
        <v>9875.68</v>
      </c>
      <c r="X39" s="11" t="n">
        <f aca="false">ROUND(W39*J39/100,2)</f>
        <v>98.76</v>
      </c>
      <c r="Y39" s="6"/>
      <c r="Z39" s="13" t="n">
        <f aca="false">Z38+O39</f>
        <v>2.76451686070009</v>
      </c>
      <c r="AA39" s="13" t="n">
        <f aca="false">MAX(AA38,Z39)</f>
        <v>2.77818249751796</v>
      </c>
      <c r="AB39" s="13" t="n">
        <f aca="false">Z39-AA39</f>
        <v>-0.0136656368178705</v>
      </c>
      <c r="AC39" s="11" t="n">
        <f aca="false">ROUND(W39+N39,2)</f>
        <v>10011.95</v>
      </c>
      <c r="AD39" s="11" t="n">
        <f aca="false">MAX(AD38,AC39)</f>
        <v>10266.68</v>
      </c>
      <c r="AE39" s="16" t="n">
        <f aca="false">(AC39-AD39)/AD39*100</f>
        <v>-2.48113314138553</v>
      </c>
      <c r="AF39" s="14" t="n">
        <f aca="false">IF(O39&gt;0,AF38+1,0)</f>
        <v>1</v>
      </c>
      <c r="AG39" s="14" t="n">
        <f aca="false">IF(O39&lt;0,AG38+1,0)</f>
        <v>0</v>
      </c>
    </row>
    <row r="40" customFormat="false" ht="15" hidden="false" customHeight="false" outlineLevel="0" collapsed="false">
      <c r="A40" s="6" t="s">
        <v>129</v>
      </c>
      <c r="B40" s="7" t="n">
        <v>46134</v>
      </c>
      <c r="C40" s="6" t="s">
        <v>102</v>
      </c>
      <c r="D40" s="6" t="s">
        <v>83</v>
      </c>
      <c r="E40" s="6" t="s">
        <v>69</v>
      </c>
      <c r="F40" s="6" t="s">
        <v>63</v>
      </c>
      <c r="G40" s="18" t="n">
        <v>1.28847</v>
      </c>
      <c r="H40" s="18" t="n">
        <v>1.29265</v>
      </c>
      <c r="I40" s="18" t="n">
        <v>1.27802</v>
      </c>
      <c r="J40" s="9" t="n">
        <v>1</v>
      </c>
      <c r="K40" s="10" t="n">
        <f aca="false">V40*ABS(G40-H40)/W40*100</f>
        <v>1.00000486418731</v>
      </c>
      <c r="L40" s="11" t="n">
        <f aca="false">ROUND(V40*IF(F40="Long",1,-1)*(T40-G40),2)</f>
        <v>-100.12</v>
      </c>
      <c r="M40" s="12" t="n">
        <v>2.87</v>
      </c>
      <c r="N40" s="11" t="n">
        <f aca="false">ROUND(L40-M40,2)</f>
        <v>-102.99</v>
      </c>
      <c r="O40" s="13" t="n">
        <f aca="false">N40/X40</f>
        <v>-1.02866560127847</v>
      </c>
      <c r="P40" s="14" t="str">
        <f aca="false">IF(N40&gt;0,"Win",IF(N40&lt;0,"Loss","Breakeven"))</f>
        <v>Loss</v>
      </c>
      <c r="Q40" s="14" t="str">
        <f aca="false">IF(ROUND(K40,2)&gt;ROUND(J40,2),"Yes","No")</f>
        <v>No</v>
      </c>
      <c r="R40" s="6" t="s">
        <v>87</v>
      </c>
      <c r="S40" s="6" t="s">
        <v>130</v>
      </c>
      <c r="T40" s="18" t="n">
        <v>1.29265</v>
      </c>
      <c r="U40" s="6" t="s">
        <v>65</v>
      </c>
      <c r="V40" s="15" t="n">
        <v>23952.15</v>
      </c>
      <c r="W40" s="11" t="n">
        <f aca="false">ROUND(W39+N39,2)</f>
        <v>10011.95</v>
      </c>
      <c r="X40" s="11" t="n">
        <f aca="false">ROUND(W40*J40/100,2)</f>
        <v>100.12</v>
      </c>
      <c r="Y40" s="6" t="s">
        <v>89</v>
      </c>
      <c r="Z40" s="13" t="n">
        <f aca="false">Z39+O40</f>
        <v>1.73585125942162</v>
      </c>
      <c r="AA40" s="13" t="n">
        <f aca="false">MAX(AA39,Z40)</f>
        <v>2.77818249751796</v>
      </c>
      <c r="AB40" s="13" t="n">
        <f aca="false">Z40-AA40</f>
        <v>-1.04233123809634</v>
      </c>
      <c r="AC40" s="11" t="n">
        <f aca="false">ROUND(W40+N40,2)</f>
        <v>9908.96</v>
      </c>
      <c r="AD40" s="11" t="n">
        <f aca="false">MAX(AD39,AC40)</f>
        <v>10266.68</v>
      </c>
      <c r="AE40" s="16" t="n">
        <f aca="false">(AC40-AD40)/AD40*100</f>
        <v>-3.48428118924522</v>
      </c>
      <c r="AF40" s="14" t="n">
        <f aca="false">IF(O40&gt;0,AF39+1,0)</f>
        <v>0</v>
      </c>
      <c r="AG40" s="14" t="n">
        <f aca="false">IF(O40&lt;0,AG39+1,0)</f>
        <v>1</v>
      </c>
    </row>
    <row r="41" customFormat="false" ht="15" hidden="false" customHeight="false" outlineLevel="0" collapsed="false">
      <c r="A41" s="6" t="s">
        <v>131</v>
      </c>
      <c r="B41" s="7" t="n">
        <v>46135</v>
      </c>
      <c r="C41" s="6" t="s">
        <v>67</v>
      </c>
      <c r="D41" s="6" t="s">
        <v>68</v>
      </c>
      <c r="E41" s="6" t="s">
        <v>91</v>
      </c>
      <c r="F41" s="6" t="s">
        <v>55</v>
      </c>
      <c r="G41" s="9" t="n">
        <v>2639.94</v>
      </c>
      <c r="H41" s="9" t="n">
        <v>2632.33</v>
      </c>
      <c r="I41" s="9" t="n">
        <v>2652.88</v>
      </c>
      <c r="J41" s="9" t="n">
        <v>1</v>
      </c>
      <c r="K41" s="10" t="n">
        <f aca="false">V41*ABS(G41-H41)/W41*100</f>
        <v>0.999925320114338</v>
      </c>
      <c r="L41" s="11" t="n">
        <f aca="false">ROUND(V41*IF(F41="Long",1,-1)*(T41-G41),2)</f>
        <v>168.48</v>
      </c>
      <c r="M41" s="12" t="n">
        <v>3.25</v>
      </c>
      <c r="N41" s="11" t="n">
        <f aca="false">ROUND(L41-M41,2)</f>
        <v>165.23</v>
      </c>
      <c r="O41" s="13" t="n">
        <f aca="false">N41/X41</f>
        <v>1.66747401352306</v>
      </c>
      <c r="P41" s="14" t="str">
        <f aca="false">IF(N41&gt;0,"Win",IF(N41&lt;0,"Loss","Breakeven"))</f>
        <v>Win</v>
      </c>
      <c r="Q41" s="14" t="str">
        <f aca="false">IF(ROUND(K41,2)&gt;ROUND(J41,2),"Yes","No")</f>
        <v>No</v>
      </c>
      <c r="R41" s="6" t="s">
        <v>56</v>
      </c>
      <c r="S41" s="6" t="s">
        <v>57</v>
      </c>
      <c r="T41" s="9" t="n">
        <v>2652.88</v>
      </c>
      <c r="U41" s="6" t="s">
        <v>58</v>
      </c>
      <c r="V41" s="15" t="n">
        <v>13.02</v>
      </c>
      <c r="W41" s="11" t="n">
        <f aca="false">ROUND(W40+N40,2)</f>
        <v>9908.96</v>
      </c>
      <c r="X41" s="11" t="n">
        <f aca="false">ROUND(W41*J41/100,2)</f>
        <v>99.09</v>
      </c>
      <c r="Y41" s="6"/>
      <c r="Z41" s="13" t="n">
        <f aca="false">Z40+O41</f>
        <v>3.40332527294468</v>
      </c>
      <c r="AA41" s="13" t="n">
        <f aca="false">MAX(AA40,Z41)</f>
        <v>3.40332527294468</v>
      </c>
      <c r="AB41" s="13" t="n">
        <f aca="false">Z41-AA41</f>
        <v>0</v>
      </c>
      <c r="AC41" s="11" t="n">
        <f aca="false">ROUND(W41+N41,2)</f>
        <v>10074.19</v>
      </c>
      <c r="AD41" s="11" t="n">
        <f aca="false">MAX(AD40,AC41)</f>
        <v>10266.68</v>
      </c>
      <c r="AE41" s="16" t="n">
        <f aca="false">(AC41-AD41)/AD41*100</f>
        <v>-1.87490016246732</v>
      </c>
      <c r="AF41" s="14" t="n">
        <f aca="false">IF(O41&gt;0,AF40+1,0)</f>
        <v>1</v>
      </c>
      <c r="AG41" s="14" t="n">
        <f aca="false">IF(O41&lt;0,AG40+1,0)</f>
        <v>0</v>
      </c>
    </row>
    <row r="42" customFormat="false" ht="15" hidden="false" customHeight="false" outlineLevel="0" collapsed="false">
      <c r="A42" s="6" t="s">
        <v>132</v>
      </c>
      <c r="B42" s="7" t="n">
        <v>46139</v>
      </c>
      <c r="C42" s="6" t="s">
        <v>67</v>
      </c>
      <c r="D42" s="6" t="s">
        <v>61</v>
      </c>
      <c r="E42" s="6" t="s">
        <v>69</v>
      </c>
      <c r="F42" s="6" t="s">
        <v>55</v>
      </c>
      <c r="G42" s="9" t="n">
        <v>2649.85</v>
      </c>
      <c r="H42" s="9" t="n">
        <v>2638.55</v>
      </c>
      <c r="I42" s="9" t="n">
        <v>2666.8</v>
      </c>
      <c r="J42" s="9" t="n">
        <v>1</v>
      </c>
      <c r="K42" s="10" t="n">
        <f aca="false">V42*ABS(G42-H42)/W42*100</f>
        <v>1.03979575529147</v>
      </c>
      <c r="L42" s="11" t="n">
        <f aca="false">ROUND(V42*IF(F42="Long",1,-1)*(T42-G42),2)</f>
        <v>-104.75</v>
      </c>
      <c r="M42" s="12" t="n">
        <v>2.32</v>
      </c>
      <c r="N42" s="11" t="n">
        <f aca="false">ROUND(L42-M42,2)</f>
        <v>-107.07</v>
      </c>
      <c r="O42" s="13" t="n">
        <f aca="false">N42/X42</f>
        <v>-1.06283502084574</v>
      </c>
      <c r="P42" s="14" t="str">
        <f aca="false">IF(N42&gt;0,"Win",IF(N42&lt;0,"Loss","Breakeven"))</f>
        <v>Loss</v>
      </c>
      <c r="Q42" s="14" t="str">
        <f aca="false">IF(ROUND(K42,2)&gt;ROUND(J42,2),"Yes","No")</f>
        <v>Yes</v>
      </c>
      <c r="R42" s="6" t="s">
        <v>56</v>
      </c>
      <c r="S42" s="6" t="s">
        <v>113</v>
      </c>
      <c r="T42" s="9" t="n">
        <v>2638.55</v>
      </c>
      <c r="U42" s="6" t="s">
        <v>65</v>
      </c>
      <c r="V42" s="15" t="n">
        <v>9.27</v>
      </c>
      <c r="W42" s="11" t="n">
        <f aca="false">ROUND(W41+N41,2)</f>
        <v>10074.19</v>
      </c>
      <c r="X42" s="11" t="n">
        <f aca="false">ROUND(W42*J42/100,2)</f>
        <v>100.74</v>
      </c>
      <c r="Y42" s="6"/>
      <c r="Z42" s="13" t="n">
        <f aca="false">Z41+O42</f>
        <v>2.34049025209894</v>
      </c>
      <c r="AA42" s="13" t="n">
        <f aca="false">MAX(AA41,Z42)</f>
        <v>3.40332527294468</v>
      </c>
      <c r="AB42" s="13" t="n">
        <f aca="false">Z42-AA42</f>
        <v>-1.06283502084574</v>
      </c>
      <c r="AC42" s="11" t="n">
        <f aca="false">ROUND(W42+N42,2)</f>
        <v>9967.12</v>
      </c>
      <c r="AD42" s="11" t="n">
        <f aca="false">MAX(AD41,AC42)</f>
        <v>10266.68</v>
      </c>
      <c r="AE42" s="16" t="n">
        <f aca="false">(AC42-AD42)/AD42*100</f>
        <v>-2.91778841845659</v>
      </c>
      <c r="AF42" s="14" t="n">
        <f aca="false">IF(O42&gt;0,AF41+1,0)</f>
        <v>0</v>
      </c>
      <c r="AG42" s="14" t="n">
        <f aca="false">IF(O42&lt;0,AG41+1,0)</f>
        <v>1</v>
      </c>
    </row>
    <row r="43" customFormat="false" ht="15" hidden="false" customHeight="false" outlineLevel="0" collapsed="false">
      <c r="A43" s="6" t="s">
        <v>133</v>
      </c>
      <c r="B43" s="7" t="n">
        <v>46140</v>
      </c>
      <c r="C43" s="6" t="s">
        <v>52</v>
      </c>
      <c r="D43" s="6" t="s">
        <v>68</v>
      </c>
      <c r="E43" s="6" t="s">
        <v>69</v>
      </c>
      <c r="F43" s="6" t="s">
        <v>63</v>
      </c>
      <c r="G43" s="8" t="n">
        <v>147.909</v>
      </c>
      <c r="H43" s="8" t="n">
        <v>148.412</v>
      </c>
      <c r="I43" s="8" t="n">
        <v>147.004</v>
      </c>
      <c r="J43" s="9" t="n">
        <v>1</v>
      </c>
      <c r="K43" s="10" t="n">
        <f aca="false">V43*ABS(G43-H43)/W43*100</f>
        <v>0.999982442270213</v>
      </c>
      <c r="L43" s="11" t="n">
        <f aca="false">ROUND(V43*IF(F43="Long",1,-1)*(T43-G43),2)</f>
        <v>179.33</v>
      </c>
      <c r="M43" s="12" t="n">
        <v>1.98</v>
      </c>
      <c r="N43" s="11" t="n">
        <f aca="false">ROUND(L43-M43,2)</f>
        <v>177.35</v>
      </c>
      <c r="O43" s="13" t="n">
        <f aca="false">N43/X43</f>
        <v>1.77937192736029</v>
      </c>
      <c r="P43" s="14" t="str">
        <f aca="false">IF(N43&gt;0,"Win",IF(N43&lt;0,"Loss","Breakeven"))</f>
        <v>Win</v>
      </c>
      <c r="Q43" s="14" t="str">
        <f aca="false">IF(ROUND(K43,2)&gt;ROUND(J43,2),"Yes","No")</f>
        <v>No</v>
      </c>
      <c r="R43" s="6" t="s">
        <v>56</v>
      </c>
      <c r="S43" s="6" t="s">
        <v>57</v>
      </c>
      <c r="T43" s="8" t="n">
        <v>147.004</v>
      </c>
      <c r="U43" s="6" t="s">
        <v>58</v>
      </c>
      <c r="V43" s="15" t="n">
        <v>198.15</v>
      </c>
      <c r="W43" s="11" t="n">
        <f aca="false">ROUND(W42+N42,2)</f>
        <v>9967.12</v>
      </c>
      <c r="X43" s="11" t="n">
        <f aca="false">ROUND(W43*J43/100,2)</f>
        <v>99.67</v>
      </c>
      <c r="Y43" s="6"/>
      <c r="Z43" s="13" t="n">
        <f aca="false">Z42+O43</f>
        <v>4.11986217945923</v>
      </c>
      <c r="AA43" s="13" t="n">
        <f aca="false">MAX(AA42,Z43)</f>
        <v>4.11986217945923</v>
      </c>
      <c r="AB43" s="13" t="n">
        <f aca="false">Z43-AA43</f>
        <v>0</v>
      </c>
      <c r="AC43" s="11" t="n">
        <f aca="false">ROUND(W43+N43,2)</f>
        <v>10144.47</v>
      </c>
      <c r="AD43" s="11" t="n">
        <f aca="false">MAX(AD42,AC43)</f>
        <v>10266.68</v>
      </c>
      <c r="AE43" s="16" t="n">
        <f aca="false">(AC43-AD43)/AD43*100</f>
        <v>-1.19035559694079</v>
      </c>
      <c r="AF43" s="14" t="n">
        <f aca="false">IF(O43&gt;0,AF42+1,0)</f>
        <v>1</v>
      </c>
      <c r="AG43" s="14" t="n">
        <f aca="false">IF(O43&lt;0,AG42+1,0)</f>
        <v>0</v>
      </c>
    </row>
  </sheetData>
  <autoFilter ref="A3:AG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9"/>
    <col collapsed="false" customWidth="true" hidden="false" outlineLevel="0" max="5" min="5" style="0" width="9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4" t="s">
        <v>134</v>
      </c>
    </row>
    <row r="4" customFormat="false" ht="15" hidden="false" customHeight="false" outlineLevel="0" collapsed="false">
      <c r="A4" s="19" t="s">
        <v>135</v>
      </c>
      <c r="B4" s="19" t="s">
        <v>136</v>
      </c>
      <c r="C4" s="19" t="s">
        <v>137</v>
      </c>
      <c r="D4" s="19" t="s">
        <v>138</v>
      </c>
      <c r="E4" s="19" t="s">
        <v>139</v>
      </c>
    </row>
    <row r="5" customFormat="false" ht="15" hidden="false" customHeight="false" outlineLevel="0" collapsed="false">
      <c r="A5" s="20" t="s">
        <v>140</v>
      </c>
      <c r="B5" s="21"/>
      <c r="C5" s="21"/>
      <c r="D5" s="21"/>
      <c r="E5" s="21"/>
    </row>
    <row r="6" customFormat="false" ht="15" hidden="false" customHeight="false" outlineLevel="0" collapsed="false">
      <c r="A6" s="14" t="s">
        <v>141</v>
      </c>
      <c r="B6" s="22" t="n">
        <f aca="false">COUNTA('Trade Data'!$A$4:$A$43)</f>
        <v>40</v>
      </c>
      <c r="C6" s="23" t="n">
        <v>40</v>
      </c>
      <c r="D6" s="14" t="str">
        <f aca="false">IF(ABS(B6-C6)&lt;0.0051,"OK","CHECK")</f>
        <v>OK</v>
      </c>
      <c r="E6" s="24" t="s">
        <v>142</v>
      </c>
    </row>
    <row r="7" customFormat="false" ht="15" hidden="false" customHeight="false" outlineLevel="0" collapsed="false">
      <c r="A7" s="14" t="s">
        <v>143</v>
      </c>
      <c r="B7" s="22" t="n">
        <f aca="false">COUNTIF('Trade Data'!$N$4:$N$43,"&gt;0")</f>
        <v>18</v>
      </c>
      <c r="C7" s="23" t="n">
        <v>18</v>
      </c>
      <c r="D7" s="14" t="str">
        <f aca="false">IF(ABS(B7-C7)&lt;0.0051,"OK","CHECK")</f>
        <v>OK</v>
      </c>
      <c r="E7" s="24" t="s">
        <v>144</v>
      </c>
    </row>
    <row r="8" customFormat="false" ht="15" hidden="false" customHeight="false" outlineLevel="0" collapsed="false">
      <c r="A8" s="14" t="s">
        <v>145</v>
      </c>
      <c r="B8" s="22" t="n">
        <f aca="false">COUNTIF('Trade Data'!$N$4:$N$43,"&lt;0")</f>
        <v>22</v>
      </c>
      <c r="C8" s="23" t="n">
        <v>22</v>
      </c>
      <c r="D8" s="14" t="str">
        <f aca="false">IF(ABS(B8-C8)&lt;0.0051,"OK","CHECK")</f>
        <v>OK</v>
      </c>
      <c r="E8" s="24" t="s">
        <v>146</v>
      </c>
    </row>
    <row r="9" customFormat="false" ht="15" hidden="false" customHeight="false" outlineLevel="0" collapsed="false">
      <c r="A9" s="14" t="s">
        <v>147</v>
      </c>
      <c r="B9" s="25" t="n">
        <f aca="false">B7/B6*100</f>
        <v>45</v>
      </c>
      <c r="C9" s="17" t="n">
        <v>45</v>
      </c>
      <c r="D9" s="14" t="str">
        <f aca="false">IF(ABS(B9-C9)&lt;0.0051,"OK","CHECK")</f>
        <v>OK</v>
      </c>
      <c r="E9" s="24" t="s">
        <v>148</v>
      </c>
    </row>
    <row r="10" customFormat="false" ht="15" hidden="false" customHeight="false" outlineLevel="0" collapsed="false">
      <c r="A10" s="14" t="s">
        <v>149</v>
      </c>
      <c r="B10" s="16" t="n">
        <f aca="false">SUMIF('Trade Data'!$O$4:$O$43,"&gt;0")</f>
        <v>27.6860944363264</v>
      </c>
      <c r="C10" s="9" t="n">
        <v>27.6862</v>
      </c>
      <c r="D10" s="14" t="str">
        <f aca="false">IF(ABS(B10-C10)&lt;0.0051,"OK","CHECK")</f>
        <v>OK</v>
      </c>
      <c r="E10" s="24" t="s">
        <v>150</v>
      </c>
    </row>
    <row r="11" customFormat="false" ht="15" hidden="false" customHeight="false" outlineLevel="0" collapsed="false">
      <c r="A11" s="14" t="s">
        <v>151</v>
      </c>
      <c r="B11" s="16" t="n">
        <f aca="false">SUMIF('Trade Data'!$O$4:$O$43,"&lt;0")</f>
        <v>-23.5662322568672</v>
      </c>
      <c r="C11" s="9" t="n">
        <v>-23.5662</v>
      </c>
      <c r="D11" s="14" t="str">
        <f aca="false">IF(ABS(B11-C11)&lt;0.0051,"OK","CHECK")</f>
        <v>OK</v>
      </c>
      <c r="E11" s="24" t="s">
        <v>152</v>
      </c>
    </row>
    <row r="12" customFormat="false" ht="15" hidden="false" customHeight="false" outlineLevel="0" collapsed="false">
      <c r="A12" s="14" t="s">
        <v>153</v>
      </c>
      <c r="B12" s="16" t="n">
        <f aca="false">B10+B11</f>
        <v>4.11986217945923</v>
      </c>
      <c r="C12" s="9" t="n">
        <v>4.12</v>
      </c>
      <c r="D12" s="14" t="str">
        <f aca="false">IF(ABS(B12-C12)&lt;0.0051,"OK","CHECK")</f>
        <v>OK</v>
      </c>
      <c r="E12" s="24" t="s">
        <v>154</v>
      </c>
    </row>
    <row r="13" customFormat="false" ht="15" hidden="false" customHeight="false" outlineLevel="0" collapsed="false">
      <c r="A13" s="14" t="s">
        <v>155</v>
      </c>
      <c r="B13" s="26" t="n">
        <f aca="false">SUMIF('Trade Data'!$N$4:$N$43,"&gt;0")</f>
        <v>2315.11</v>
      </c>
      <c r="C13" s="27" t="n">
        <v>2315.11</v>
      </c>
      <c r="D13" s="14" t="str">
        <f aca="false">IF(ABS(B13-C13)&lt;0.0051,"OK","CHECK")</f>
        <v>OK</v>
      </c>
      <c r="E13" s="24" t="s">
        <v>156</v>
      </c>
    </row>
    <row r="14" customFormat="false" ht="15" hidden="false" customHeight="false" outlineLevel="0" collapsed="false">
      <c r="A14" s="14" t="s">
        <v>157</v>
      </c>
      <c r="B14" s="26" t="n">
        <f aca="false">SUMIF('Trade Data'!$N$4:$N$43,"&lt;0")</f>
        <v>-2170.64</v>
      </c>
      <c r="C14" s="27" t="n">
        <v>-2170.64</v>
      </c>
      <c r="D14" s="14" t="str">
        <f aca="false">IF(ABS(B14-C14)&lt;0.0051,"OK","CHECK")</f>
        <v>OK</v>
      </c>
      <c r="E14" s="24" t="s">
        <v>158</v>
      </c>
    </row>
    <row r="15" customFormat="false" ht="15" hidden="false" customHeight="false" outlineLevel="0" collapsed="false">
      <c r="A15" s="14" t="s">
        <v>159</v>
      </c>
      <c r="B15" s="26" t="n">
        <f aca="false">B13+B14</f>
        <v>144.47</v>
      </c>
      <c r="C15" s="27" t="n">
        <v>144.47</v>
      </c>
      <c r="D15" s="14" t="str">
        <f aca="false">IF(ABS(B15-C15)&lt;0.0051,"OK","CHECK")</f>
        <v>OK</v>
      </c>
      <c r="E15" s="24" t="s">
        <v>160</v>
      </c>
    </row>
    <row r="16" customFormat="false" ht="15" hidden="false" customHeight="false" outlineLevel="0" collapsed="false">
      <c r="A16" s="14" t="s">
        <v>161</v>
      </c>
      <c r="B16" s="26" t="n">
        <f aca="false">SUM('Trade Data'!$L$4:$L$43)</f>
        <v>239.3</v>
      </c>
      <c r="C16" s="27" t="n">
        <v>239.3</v>
      </c>
      <c r="D16" s="14" t="str">
        <f aca="false">IF(ABS(B16-C16)&lt;0.0051,"OK","CHECK")</f>
        <v>OK</v>
      </c>
      <c r="E16" s="24" t="s">
        <v>162</v>
      </c>
    </row>
    <row r="17" customFormat="false" ht="15" hidden="false" customHeight="false" outlineLevel="0" collapsed="false">
      <c r="A17" s="14" t="s">
        <v>163</v>
      </c>
      <c r="B17" s="26" t="n">
        <f aca="false">SUM('Trade Data'!$M$4:$M$43)</f>
        <v>94.83</v>
      </c>
      <c r="C17" s="27" t="n">
        <v>94.83</v>
      </c>
      <c r="D17" s="14" t="str">
        <f aca="false">IF(ABS(B17-C17)&lt;0.0051,"OK","CHECK")</f>
        <v>OK</v>
      </c>
      <c r="E17" s="24" t="s">
        <v>164</v>
      </c>
    </row>
    <row r="18" customFormat="false" ht="15" hidden="false" customHeight="false" outlineLevel="0" collapsed="false">
      <c r="A18" s="14" t="s">
        <v>165</v>
      </c>
      <c r="B18" s="16" t="n">
        <f aca="false">ROUND(B16-B17-B15,2)</f>
        <v>0</v>
      </c>
      <c r="C18" s="9" t="n">
        <v>0</v>
      </c>
      <c r="D18" s="14" t="str">
        <f aca="false">IF(ABS(B18-C18)&lt;0.0051,"OK","CHECK")</f>
        <v>OK</v>
      </c>
      <c r="E18" s="24" t="s">
        <v>166</v>
      </c>
    </row>
    <row r="19" customFormat="false" ht="15" hidden="false" customHeight="false" outlineLevel="0" collapsed="false">
      <c r="A19" s="14" t="s">
        <v>167</v>
      </c>
      <c r="B19" s="10" t="n">
        <f aca="false">AVERAGE('Trade Data'!$O$4:$O$43)</f>
        <v>0.102996554486481</v>
      </c>
      <c r="C19" s="8" t="n">
        <v>0.103</v>
      </c>
      <c r="D19" s="14" t="str">
        <f aca="false">IF(ABS(B19-C19)&lt;0.0051,"OK","CHECK")</f>
        <v>OK</v>
      </c>
      <c r="E19" s="24" t="s">
        <v>168</v>
      </c>
    </row>
    <row r="20" customFormat="false" ht="15" hidden="false" customHeight="false" outlineLevel="0" collapsed="false">
      <c r="A20" s="14" t="s">
        <v>169</v>
      </c>
      <c r="B20" s="16" t="n">
        <f aca="false">AVERAGE('Trade Data'!$N$4:$N$43)</f>
        <v>3.61175</v>
      </c>
      <c r="C20" s="9" t="n">
        <v>3.61175</v>
      </c>
      <c r="D20" s="14" t="str">
        <f aca="false">IF(ABS(B20-C20)&lt;0.0051,"OK","CHECK")</f>
        <v>OK</v>
      </c>
      <c r="E20" s="24" t="s">
        <v>170</v>
      </c>
    </row>
    <row r="21" customFormat="false" ht="15" hidden="false" customHeight="false" outlineLevel="0" collapsed="false">
      <c r="A21" s="14" t="s">
        <v>171</v>
      </c>
      <c r="B21" s="10" t="n">
        <f aca="false">AVERAGEIF('Trade Data'!$O$4:$O$43,"&gt;0")</f>
        <v>1.53811635757369</v>
      </c>
      <c r="C21" s="8" t="n">
        <v>1.538122</v>
      </c>
      <c r="D21" s="14" t="str">
        <f aca="false">IF(ABS(B21-C21)&lt;0.0051,"OK","CHECK")</f>
        <v>OK</v>
      </c>
      <c r="E21" s="24" t="s">
        <v>172</v>
      </c>
    </row>
    <row r="22" customFormat="false" ht="15" hidden="false" customHeight="false" outlineLevel="0" collapsed="false">
      <c r="A22" s="14" t="s">
        <v>173</v>
      </c>
      <c r="B22" s="10" t="n">
        <f aca="false">AVERAGEIF('Trade Data'!$O$4:$O$43,"&lt;0")</f>
        <v>-1.07119237531214</v>
      </c>
      <c r="C22" s="8" t="n">
        <v>-1.071191</v>
      </c>
      <c r="D22" s="14" t="str">
        <f aca="false">IF(ABS(B22-C22)&lt;0.0051,"OK","CHECK")</f>
        <v>OK</v>
      </c>
      <c r="E22" s="24" t="s">
        <v>174</v>
      </c>
    </row>
    <row r="23" customFormat="false" ht="15" hidden="false" customHeight="false" outlineLevel="0" collapsed="false">
      <c r="A23" s="14" t="s">
        <v>175</v>
      </c>
      <c r="B23" s="10" t="n">
        <f aca="false">MAX('Trade Data'!$O$4:$O$43)</f>
        <v>2.15840495702578</v>
      </c>
      <c r="C23" s="8" t="n">
        <v>2.1584</v>
      </c>
      <c r="D23" s="14" t="str">
        <f aca="false">IF(ABS(B23-C23)&lt;0.0051,"OK","CHECK")</f>
        <v>OK</v>
      </c>
      <c r="E23" s="24" t="s">
        <v>176</v>
      </c>
    </row>
    <row r="24" customFormat="false" ht="15" hidden="false" customHeight="false" outlineLevel="0" collapsed="false">
      <c r="A24" s="14" t="s">
        <v>177</v>
      </c>
      <c r="B24" s="10" t="n">
        <f aca="false">MIN('Trade Data'!$O$4:$O$43)</f>
        <v>-1.53866056324012</v>
      </c>
      <c r="C24" s="8" t="n">
        <v>-1.5387</v>
      </c>
      <c r="D24" s="14" t="str">
        <f aca="false">IF(ABS(B24-C24)&lt;0.0051,"OK","CHECK")</f>
        <v>OK</v>
      </c>
      <c r="E24" s="24" t="s">
        <v>178</v>
      </c>
    </row>
    <row r="25" customFormat="false" ht="15" hidden="false" customHeight="false" outlineLevel="0" collapsed="false">
      <c r="A25" s="20" t="s">
        <v>179</v>
      </c>
      <c r="B25" s="21"/>
      <c r="C25" s="21"/>
      <c r="D25" s="21"/>
      <c r="E25" s="21"/>
    </row>
    <row r="26" customFormat="false" ht="15" hidden="false" customHeight="false" outlineLevel="0" collapsed="false">
      <c r="A26" s="14" t="s">
        <v>180</v>
      </c>
      <c r="B26" s="16" t="n">
        <f aca="false">B10/ABS(B11)</f>
        <v>1.17482057099979</v>
      </c>
      <c r="C26" s="9" t="n">
        <v>1.174827</v>
      </c>
      <c r="D26" s="14" t="str">
        <f aca="false">IF(ABS(B26-C26)&lt;0.0051,"OK","CHECK")</f>
        <v>OK</v>
      </c>
      <c r="E26" s="24" t="s">
        <v>181</v>
      </c>
    </row>
    <row r="27" customFormat="false" ht="15" hidden="false" customHeight="false" outlineLevel="0" collapsed="false">
      <c r="A27" s="14" t="s">
        <v>182</v>
      </c>
      <c r="B27" s="16" t="n">
        <f aca="false">B13/ABS(B14)</f>
        <v>1.06655640732687</v>
      </c>
      <c r="C27" s="9" t="n">
        <v>1.066556</v>
      </c>
      <c r="D27" s="14" t="str">
        <f aca="false">IF(ABS(B27-C27)&lt;0.0051,"OK","CHECK")</f>
        <v>OK</v>
      </c>
      <c r="E27" s="24" t="s">
        <v>183</v>
      </c>
    </row>
    <row r="28" customFormat="false" ht="15" hidden="false" customHeight="false" outlineLevel="0" collapsed="false">
      <c r="A28" s="14" t="s">
        <v>184</v>
      </c>
      <c r="B28" s="16" t="n">
        <f aca="false">B21/ABS(B22)</f>
        <v>1.43589180899975</v>
      </c>
      <c r="C28" s="9" t="n">
        <v>1.435899</v>
      </c>
      <c r="D28" s="14" t="str">
        <f aca="false">IF(ABS(B28-C28)&lt;0.0051,"OK","CHECK")</f>
        <v>OK</v>
      </c>
      <c r="E28" s="24" t="s">
        <v>185</v>
      </c>
    </row>
    <row r="29" customFormat="false" ht="15" hidden="false" customHeight="false" outlineLevel="0" collapsed="false">
      <c r="A29" s="14" t="s">
        <v>186</v>
      </c>
      <c r="B29" s="10" t="n">
        <f aca="false">B12/B6</f>
        <v>0.102996554486481</v>
      </c>
      <c r="C29" s="8" t="n">
        <v>0.103</v>
      </c>
      <c r="D29" s="14" t="str">
        <f aca="false">IF(ABS(B29-C29)&lt;0.0051,"OK","CHECK")</f>
        <v>OK</v>
      </c>
      <c r="E29" s="24" t="s">
        <v>187</v>
      </c>
    </row>
    <row r="30" customFormat="false" ht="15" hidden="false" customHeight="false" outlineLevel="0" collapsed="false">
      <c r="A30" s="14" t="s">
        <v>188</v>
      </c>
      <c r="B30" s="25" t="n">
        <f aca="false">100/(1+B28)</f>
        <v>41.0527264103175</v>
      </c>
      <c r="C30" s="17" t="n">
        <v>41.052601</v>
      </c>
      <c r="D30" s="14" t="str">
        <f aca="false">IF(ABS(B30-C30)&lt;0.0051,"OK","CHECK")</f>
        <v>OK</v>
      </c>
      <c r="E30" s="24" t="s">
        <v>189</v>
      </c>
    </row>
    <row r="31" customFormat="false" ht="15" hidden="false" customHeight="false" outlineLevel="0" collapsed="false">
      <c r="A31" s="14" t="s">
        <v>190</v>
      </c>
      <c r="B31" s="10" t="n">
        <f aca="false">STDEV('Trade Data'!$O$4:$O$43)</f>
        <v>1.35456712448618</v>
      </c>
      <c r="C31" s="8" t="n">
        <v>1.35457</v>
      </c>
      <c r="D31" s="14" t="str">
        <f aca="false">IF(ABS(B31-C31)&lt;0.0051,"OK","CHECK")</f>
        <v>OK</v>
      </c>
      <c r="E31" s="24" t="s">
        <v>191</v>
      </c>
    </row>
    <row r="32" customFormat="false" ht="15" hidden="false" customHeight="false" outlineLevel="0" collapsed="false">
      <c r="A32" s="14" t="s">
        <v>192</v>
      </c>
      <c r="B32" s="10" t="n">
        <f aca="false">B31/SQRT(B6)</f>
        <v>0.214175867848059</v>
      </c>
      <c r="C32" s="8" t="n">
        <v>0.214176</v>
      </c>
      <c r="D32" s="14" t="str">
        <f aca="false">IF(ABS(B32-C32)&lt;0.0051,"OK","CHECK")</f>
        <v>OK</v>
      </c>
      <c r="E32" s="24" t="s">
        <v>193</v>
      </c>
    </row>
    <row r="33" customFormat="false" ht="15" hidden="false" customHeight="false" outlineLevel="0" collapsed="false">
      <c r="A33" s="14" t="s">
        <v>194</v>
      </c>
      <c r="B33" s="10" t="n">
        <f aca="false">B29-TINV(0.05,B6-1)*B32</f>
        <v>-0.330215028700782</v>
      </c>
      <c r="C33" s="8" t="n">
        <v>-0.330215</v>
      </c>
      <c r="D33" s="14" t="str">
        <f aca="false">IF(ABS(B33-C33)&lt;0.0051,"OK","CHECK")</f>
        <v>OK</v>
      </c>
      <c r="E33" s="24" t="s">
        <v>195</v>
      </c>
    </row>
    <row r="34" customFormat="false" ht="15" hidden="false" customHeight="false" outlineLevel="0" collapsed="false">
      <c r="A34" s="14" t="s">
        <v>196</v>
      </c>
      <c r="B34" s="10" t="n">
        <f aca="false">B29+TINV(0.05,B6-1)*B32</f>
        <v>0.536208137673743</v>
      </c>
      <c r="C34" s="8" t="n">
        <v>0.536215</v>
      </c>
      <c r="D34" s="14" t="str">
        <f aca="false">IF(ABS(B34-C34)&lt;0.0051,"OK","CHECK")</f>
        <v>OK</v>
      </c>
      <c r="E34" s="24" t="s">
        <v>197</v>
      </c>
    </row>
    <row r="35" customFormat="false" ht="15" hidden="false" customHeight="false" outlineLevel="0" collapsed="false">
      <c r="A35" s="14" t="s">
        <v>198</v>
      </c>
      <c r="B35" s="10" t="n">
        <f aca="false">MIN('Trade Data'!$AB$4:$AB$43)</f>
        <v>-3.74214550270972</v>
      </c>
      <c r="C35" s="8" t="n">
        <v>-3.7421</v>
      </c>
      <c r="D35" s="14" t="str">
        <f aca="false">IF(ABS(B35-C35)&lt;0.0051,"OK","CHECK")</f>
        <v>OK</v>
      </c>
      <c r="E35" s="24" t="s">
        <v>199</v>
      </c>
    </row>
    <row r="36" customFormat="false" ht="15" hidden="false" customHeight="false" outlineLevel="0" collapsed="false">
      <c r="A36" s="14" t="s">
        <v>200</v>
      </c>
      <c r="B36" s="26" t="n">
        <f aca="false">SUMPRODUCT(MIN('Trade Data'!$AC$4:$AC$43-'Trade Data'!$AD$4:$AD$43))</f>
        <v>-405.190000000001</v>
      </c>
      <c r="C36" s="27" t="n">
        <v>-405.19</v>
      </c>
      <c r="D36" s="14" t="str">
        <f aca="false">IF(ABS(B36-C36)&lt;0.0051,"OK","CHECK")</f>
        <v>OK</v>
      </c>
      <c r="E36" s="24" t="s">
        <v>201</v>
      </c>
    </row>
    <row r="37" customFormat="false" ht="15" hidden="false" customHeight="false" outlineLevel="0" collapsed="false">
      <c r="A37" s="14" t="s">
        <v>202</v>
      </c>
      <c r="B37" s="16" t="n">
        <f aca="false">MIN('Trade Data'!$AE$4:$AE$43)</f>
        <v>-3.94665071863544</v>
      </c>
      <c r="C37" s="9" t="n">
        <v>-3.946651</v>
      </c>
      <c r="D37" s="14" t="str">
        <f aca="false">IF(ABS(B37-C37)&lt;0.0051,"OK","CHECK")</f>
        <v>OK</v>
      </c>
      <c r="E37" s="24" t="s">
        <v>203</v>
      </c>
    </row>
    <row r="38" customFormat="false" ht="15" hidden="false" customHeight="false" outlineLevel="0" collapsed="false">
      <c r="A38" s="14" t="s">
        <v>204</v>
      </c>
      <c r="B38" s="10" t="n">
        <f aca="false">AVERAGE('Trade Data'!$J$4:$J$43)</f>
        <v>0.8875</v>
      </c>
      <c r="C38" s="8" t="n">
        <v>0.8875</v>
      </c>
      <c r="D38" s="14" t="str">
        <f aca="false">IF(ABS(B38-C38)&lt;0.0051,"OK","CHECK")</f>
        <v>OK</v>
      </c>
      <c r="E38" s="24" t="s">
        <v>205</v>
      </c>
    </row>
    <row r="39" customFormat="false" ht="15" hidden="false" customHeight="false" outlineLevel="0" collapsed="false">
      <c r="A39" s="14" t="s">
        <v>206</v>
      </c>
      <c r="B39" s="10" t="n">
        <f aca="false">AVERAGE('Trade Data'!$K$4:$K$43)</f>
        <v>0.909315164335385</v>
      </c>
      <c r="C39" s="8" t="n">
        <v>0.90935</v>
      </c>
      <c r="D39" s="14" t="str">
        <f aca="false">IF(ABS(B39-C39)&lt;0.0051,"OK","CHECK")</f>
        <v>OK</v>
      </c>
      <c r="E39" s="24" t="s">
        <v>207</v>
      </c>
    </row>
    <row r="40" customFormat="false" ht="15" hidden="false" customHeight="false" outlineLevel="0" collapsed="false">
      <c r="A40" s="14" t="s">
        <v>208</v>
      </c>
      <c r="B40" s="22" t="n">
        <f aca="false">COUNTIF('Trade Data'!$Q$4:$Q$43,"Yes")</f>
        <v>4</v>
      </c>
      <c r="C40" s="23" t="n">
        <v>4</v>
      </c>
      <c r="D40" s="14" t="str">
        <f aca="false">IF(ABS(B40-C40)&lt;0.0051,"OK","CHECK")</f>
        <v>OK</v>
      </c>
      <c r="E40" s="24" t="s">
        <v>209</v>
      </c>
    </row>
    <row r="41" customFormat="false" ht="15" hidden="false" customHeight="false" outlineLevel="0" collapsed="false">
      <c r="A41" s="14" t="s">
        <v>210</v>
      </c>
      <c r="B41" s="25" t="n">
        <f aca="false">B40/B6*100</f>
        <v>10</v>
      </c>
      <c r="C41" s="17" t="n">
        <v>10</v>
      </c>
      <c r="D41" s="14" t="str">
        <f aca="false">IF(ABS(B41-C41)&lt;0.0051,"OK","CHECK")</f>
        <v>OK</v>
      </c>
      <c r="E41" s="24" t="s">
        <v>211</v>
      </c>
    </row>
    <row r="42" customFormat="false" ht="15" hidden="false" customHeight="false" outlineLevel="0" collapsed="false">
      <c r="A42" s="14" t="s">
        <v>212</v>
      </c>
      <c r="B42" s="22" t="n">
        <f aca="false">COUNTIF('Trade Data'!$R$4:$R$43,"Yes")</f>
        <v>8</v>
      </c>
      <c r="C42" s="23" t="n">
        <v>8</v>
      </c>
      <c r="D42" s="14" t="str">
        <f aca="false">IF(ABS(B42-C42)&lt;0.0051,"OK","CHECK")</f>
        <v>OK</v>
      </c>
      <c r="E42" s="24" t="s">
        <v>213</v>
      </c>
    </row>
    <row r="43" customFormat="false" ht="15" hidden="false" customHeight="false" outlineLevel="0" collapsed="false">
      <c r="A43" s="14" t="s">
        <v>210</v>
      </c>
      <c r="B43" s="25" t="n">
        <f aca="false">B42/B6*100</f>
        <v>20</v>
      </c>
      <c r="C43" s="17" t="n">
        <v>20</v>
      </c>
      <c r="D43" s="14" t="str">
        <f aca="false">IF(ABS(B43-C43)&lt;0.0051,"OK","CHECK")</f>
        <v>OK</v>
      </c>
      <c r="E43" s="24" t="s">
        <v>214</v>
      </c>
    </row>
    <row r="44" customFormat="false" ht="15" hidden="false" customHeight="false" outlineLevel="0" collapsed="false">
      <c r="A44" s="14" t="s">
        <v>215</v>
      </c>
      <c r="B44" s="22" t="n">
        <f aca="false">COUNTIF('Trade Data'!$R$4:$R$43,"Unclear")</f>
        <v>2</v>
      </c>
      <c r="C44" s="23" t="n">
        <v>2</v>
      </c>
      <c r="D44" s="14" t="str">
        <f aca="false">IF(ABS(B44-C44)&lt;0.0051,"OK","CHECK")</f>
        <v>OK</v>
      </c>
      <c r="E44" s="24" t="s">
        <v>216</v>
      </c>
    </row>
    <row r="45" customFormat="false" ht="15" hidden="false" customHeight="false" outlineLevel="0" collapsed="false">
      <c r="A45" s="20" t="s">
        <v>217</v>
      </c>
      <c r="B45" s="21"/>
      <c r="C45" s="21"/>
      <c r="D45" s="21"/>
      <c r="E45" s="21"/>
    </row>
    <row r="46" customFormat="false" ht="15" hidden="false" customHeight="false" outlineLevel="0" collapsed="false">
      <c r="A46" s="14" t="s">
        <v>218</v>
      </c>
      <c r="B46" s="22" t="n">
        <f aca="false">MAX('Trade Data'!$AF$4:$AF$43)</f>
        <v>2</v>
      </c>
      <c r="C46" s="23" t="n">
        <v>2</v>
      </c>
      <c r="D46" s="14" t="str">
        <f aca="false">IF(ABS(B46-C46)&lt;0.0051,"OK","CHECK")</f>
        <v>OK</v>
      </c>
      <c r="E46" s="24" t="s">
        <v>219</v>
      </c>
    </row>
    <row r="47" customFormat="false" ht="15" hidden="false" customHeight="false" outlineLevel="0" collapsed="false">
      <c r="A47" s="14" t="s">
        <v>220</v>
      </c>
      <c r="B47" s="22" t="n">
        <f aca="false">MAX('Trade Data'!$AG$4:$AG$43)</f>
        <v>3</v>
      </c>
      <c r="C47" s="23" t="n">
        <v>3</v>
      </c>
      <c r="D47" s="14" t="str">
        <f aca="false">IF(ABS(B47-C47)&lt;0.0051,"OK","CHECK")</f>
        <v>OK</v>
      </c>
      <c r="E47" s="24" t="s">
        <v>221</v>
      </c>
    </row>
    <row r="48" customFormat="false" ht="15" hidden="false" customHeight="false" outlineLevel="0" collapsed="false">
      <c r="A48" s="14" t="s">
        <v>222</v>
      </c>
      <c r="B48" s="26" t="n">
        <f aca="false">INDEX('Trade Data'!$AC$4:$AC$43,40)</f>
        <v>10144.47</v>
      </c>
      <c r="C48" s="27" t="n">
        <v>10144.47</v>
      </c>
      <c r="D48" s="14" t="str">
        <f aca="false">IF(ABS(B48-C48)&lt;0.0051,"OK","CHECK")</f>
        <v>OK</v>
      </c>
      <c r="E48" s="24" t="s">
        <v>223</v>
      </c>
    </row>
    <row r="50" customFormat="false" ht="15" hidden="false" customHeight="false" outlineLevel="0" collapsed="false">
      <c r="A50" s="4" t="s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8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3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4" t="s">
        <v>225</v>
      </c>
    </row>
    <row r="4" customFormat="false" ht="15" hidden="false" customHeight="false" outlineLevel="0" collapsed="false">
      <c r="A4" s="28" t="s">
        <v>226</v>
      </c>
    </row>
    <row r="5" customFormat="false" ht="15" hidden="false" customHeight="false" outlineLevel="0" collapsed="false">
      <c r="A5" s="29" t="s">
        <v>22</v>
      </c>
      <c r="B5" s="29" t="s">
        <v>227</v>
      </c>
      <c r="C5" s="29" t="s">
        <v>228</v>
      </c>
      <c r="D5" s="29" t="s">
        <v>147</v>
      </c>
      <c r="E5" s="29" t="s">
        <v>229</v>
      </c>
      <c r="F5" s="29" t="s">
        <v>230</v>
      </c>
      <c r="G5" s="29" t="s">
        <v>231</v>
      </c>
      <c r="H5" s="29" t="s">
        <v>232</v>
      </c>
    </row>
    <row r="6" customFormat="false" ht="15" hidden="false" customHeight="false" outlineLevel="0" collapsed="false">
      <c r="A6" s="6" t="s">
        <v>54</v>
      </c>
      <c r="B6" s="14" t="n">
        <f aca="false">COUNTIF('Trade Data'!$E$4:$E$43,A6)</f>
        <v>8</v>
      </c>
      <c r="C6" s="14" t="n">
        <f aca="false">COUNTIFS('Trade Data'!$E$4:$E$43,A6,'Trade Data'!$O$4:$O$43,"&gt;0")</f>
        <v>2</v>
      </c>
      <c r="D6" s="25" t="n">
        <f aca="false">C6/B6*100</f>
        <v>25</v>
      </c>
      <c r="E6" s="30" t="n">
        <f aca="false">SUMIF('Trade Data'!$E$4:$E$43,A6,'Trade Data'!$O$4:$O$43)</f>
        <v>-3.80270243018553</v>
      </c>
      <c r="F6" s="13" t="n">
        <f aca="false">E6/B6</f>
        <v>-0.475337803773192</v>
      </c>
      <c r="G6" s="16" t="n">
        <f aca="false">IFERROR(SUMIFS('Trade Data'!$O$4:$O$43,'Trade Data'!$E$4:$E$43,A6,'Trade Data'!$O$4:$O$43,"&gt;0")/ABS(SUMIFS('Trade Data'!$O$4:$O$43,'Trade Data'!$E$4:$E$43,A6,'Trade Data'!$O$4:$O$43,"&lt;0")),"n/a")</f>
        <v>0.382632992728572</v>
      </c>
      <c r="H6" s="26" t="n">
        <f aca="false">SUMIF('Trade Data'!$E$4:$E$43,A6,'Trade Data'!$N$4:$N$43)</f>
        <v>-335.8</v>
      </c>
    </row>
    <row r="7" customFormat="false" ht="15" hidden="false" customHeight="false" outlineLevel="0" collapsed="false">
      <c r="A7" s="6" t="s">
        <v>69</v>
      </c>
      <c r="B7" s="14" t="n">
        <f aca="false">COUNTIF('Trade Data'!$E$4:$E$43,A7)</f>
        <v>7</v>
      </c>
      <c r="C7" s="14" t="n">
        <f aca="false">COUNTIFS('Trade Data'!$E$4:$E$43,A7,'Trade Data'!$O$4:$O$43,"&gt;0")</f>
        <v>3</v>
      </c>
      <c r="D7" s="25" t="n">
        <f aca="false">C7/B7*100</f>
        <v>42.8571428571429</v>
      </c>
      <c r="E7" s="30" t="n">
        <f aca="false">SUMIF('Trade Data'!$E$4:$E$43,A7,'Trade Data'!$O$4:$O$43)</f>
        <v>1.41320720240766</v>
      </c>
      <c r="F7" s="13" t="n">
        <f aca="false">E7/B7</f>
        <v>0.201886743201094</v>
      </c>
      <c r="G7" s="16" t="n">
        <f aca="false">IFERROR(SUMIFS('Trade Data'!$O$4:$O$43,'Trade Data'!$E$4:$E$43,A7,'Trade Data'!$O$4:$O$43,"&gt;0")/ABS(SUMIFS('Trade Data'!$O$4:$O$43,'Trade Data'!$E$4:$E$43,A7,'Trade Data'!$O$4:$O$43,"&lt;0")),"n/a")</f>
        <v>1.34214566565084</v>
      </c>
      <c r="H7" s="26" t="n">
        <f aca="false">SUMIF('Trade Data'!$E$4:$E$43,A7,'Trade Data'!$N$4:$N$43)</f>
        <v>-51.99</v>
      </c>
    </row>
    <row r="8" customFormat="false" ht="15" hidden="false" customHeight="false" outlineLevel="0" collapsed="false">
      <c r="A8" s="6" t="s">
        <v>91</v>
      </c>
      <c r="B8" s="14" t="n">
        <f aca="false">COUNTIF('Trade Data'!$E$4:$E$43,A8)</f>
        <v>8</v>
      </c>
      <c r="C8" s="14" t="n">
        <f aca="false">COUNTIFS('Trade Data'!$E$4:$E$43,A8,'Trade Data'!$O$4:$O$43,"&gt;0")</f>
        <v>4</v>
      </c>
      <c r="D8" s="25" t="n">
        <f aca="false">C8/B8*100</f>
        <v>50</v>
      </c>
      <c r="E8" s="30" t="n">
        <f aca="false">SUMIF('Trade Data'!$E$4:$E$43,A8,'Trade Data'!$O$4:$O$43)</f>
        <v>1.17052616380789</v>
      </c>
      <c r="F8" s="13" t="n">
        <f aca="false">E8/B8</f>
        <v>0.146315770475986</v>
      </c>
      <c r="G8" s="16" t="n">
        <f aca="false">IFERROR(SUMIFS('Trade Data'!$O$4:$O$43,'Trade Data'!$E$4:$E$43,A8,'Trade Data'!$O$4:$O$43,"&gt;0")/ABS(SUMIFS('Trade Data'!$O$4:$O$43,'Trade Data'!$E$4:$E$43,A8,'Trade Data'!$O$4:$O$43,"&lt;0")),"n/a")</f>
        <v>1.25996423256008</v>
      </c>
      <c r="H8" s="26" t="n">
        <f aca="false">SUMIF('Trade Data'!$E$4:$E$43,A8,'Trade Data'!$N$4:$N$43)</f>
        <v>165.6</v>
      </c>
    </row>
    <row r="9" customFormat="false" ht="15" hidden="false" customHeight="false" outlineLevel="0" collapsed="false">
      <c r="A9" s="6" t="s">
        <v>62</v>
      </c>
      <c r="B9" s="14" t="n">
        <f aca="false">COUNTIF('Trade Data'!$E$4:$E$43,A9)</f>
        <v>17</v>
      </c>
      <c r="C9" s="14" t="n">
        <f aca="false">COUNTIFS('Trade Data'!$E$4:$E$43,A9,'Trade Data'!$O$4:$O$43,"&gt;0")</f>
        <v>9</v>
      </c>
      <c r="D9" s="25" t="n">
        <f aca="false">C9/B9*100</f>
        <v>52.9411764705882</v>
      </c>
      <c r="E9" s="30" t="n">
        <f aca="false">SUMIF('Trade Data'!$E$4:$E$43,A9,'Trade Data'!$O$4:$O$43)</f>
        <v>5.33883124342922</v>
      </c>
      <c r="F9" s="13" t="n">
        <f aca="false">E9/B9</f>
        <v>0.314048896672307</v>
      </c>
      <c r="G9" s="16" t="n">
        <f aca="false">IFERROR(SUMIFS('Trade Data'!$O$4:$O$43,'Trade Data'!$E$4:$E$43,A9,'Trade Data'!$O$4:$O$43,"&gt;0")/ABS(SUMIFS('Trade Data'!$O$4:$O$43,'Trade Data'!$E$4:$E$43,A9,'Trade Data'!$O$4:$O$43,"&lt;0")),"n/a")</f>
        <v>1.6085099013868</v>
      </c>
      <c r="H9" s="26" t="n">
        <f aca="false">SUMIF('Trade Data'!$E$4:$E$43,A9,'Trade Data'!$N$4:$N$43)</f>
        <v>366.66</v>
      </c>
    </row>
    <row r="10" customFormat="false" ht="15" hidden="false" customHeight="false" outlineLevel="0" collapsed="false">
      <c r="A10" s="2" t="s">
        <v>233</v>
      </c>
      <c r="B10" s="2" t="n">
        <f aca="false">SUM(B6:B9)</f>
        <v>40</v>
      </c>
      <c r="E10" s="31" t="n">
        <f aca="false">SUM(E6:E9)</f>
        <v>4.11986217945923</v>
      </c>
    </row>
    <row r="12" customFormat="false" ht="15" hidden="false" customHeight="false" outlineLevel="0" collapsed="false">
      <c r="A12" s="28" t="s">
        <v>234</v>
      </c>
    </row>
    <row r="13" customFormat="false" ht="15" hidden="false" customHeight="false" outlineLevel="0" collapsed="false">
      <c r="A13" s="29" t="s">
        <v>21</v>
      </c>
      <c r="B13" s="29" t="s">
        <v>227</v>
      </c>
      <c r="C13" s="29" t="s">
        <v>228</v>
      </c>
      <c r="D13" s="29" t="s">
        <v>147</v>
      </c>
      <c r="E13" s="29" t="s">
        <v>229</v>
      </c>
      <c r="F13" s="29" t="s">
        <v>230</v>
      </c>
      <c r="G13" s="29" t="s">
        <v>231</v>
      </c>
      <c r="H13" s="29" t="s">
        <v>232</v>
      </c>
    </row>
    <row r="14" customFormat="false" ht="15" hidden="false" customHeight="false" outlineLevel="0" collapsed="false">
      <c r="A14" s="6" t="s">
        <v>53</v>
      </c>
      <c r="B14" s="14" t="n">
        <f aca="false">COUNTIF('Trade Data'!$D$4:$D$43,A14)</f>
        <v>5</v>
      </c>
      <c r="C14" s="14" t="n">
        <f aca="false">COUNTIFS('Trade Data'!$D$4:$D$43,A14,'Trade Data'!$O$4:$O$43,"&gt;0")</f>
        <v>1</v>
      </c>
      <c r="D14" s="25" t="n">
        <f aca="false">C14/B14*100</f>
        <v>20</v>
      </c>
      <c r="E14" s="30" t="n">
        <f aca="false">SUMIF('Trade Data'!$D$4:$D$43,A14,'Trade Data'!$O$4:$O$43)</f>
        <v>-2.20220869860921</v>
      </c>
      <c r="F14" s="13" t="n">
        <f aca="false">E14/B14</f>
        <v>-0.440441739721843</v>
      </c>
      <c r="G14" s="16" t="n">
        <f aca="false">IFERROR(SUMIFS('Trade Data'!$O$4:$O$43,'Trade Data'!$D$4:$D$43,A14,'Trade Data'!$O$4:$O$43,"&gt;0")/ABS(SUMIFS('Trade Data'!$O$4:$O$43,'Trade Data'!$D$4:$D$43,A14,'Trade Data'!$O$4:$O$43,"&lt;0")),"n/a")</f>
        <v>0.47318211663884</v>
      </c>
      <c r="H14" s="26" t="n">
        <f aca="false">SUMIF('Trade Data'!$D$4:$D$43,A14,'Trade Data'!$N$4:$N$43)</f>
        <v>-169.32</v>
      </c>
    </row>
    <row r="15" customFormat="false" ht="15" hidden="false" customHeight="false" outlineLevel="0" collapsed="false">
      <c r="A15" s="6" t="s">
        <v>61</v>
      </c>
      <c r="B15" s="14" t="n">
        <f aca="false">COUNTIF('Trade Data'!$D$4:$D$43,A15)</f>
        <v>13</v>
      </c>
      <c r="C15" s="14" t="n">
        <f aca="false">COUNTIFS('Trade Data'!$D$4:$D$43,A15,'Trade Data'!$O$4:$O$43,"&gt;0")</f>
        <v>5</v>
      </c>
      <c r="D15" s="25" t="n">
        <f aca="false">C15/B15*100</f>
        <v>38.4615384615385</v>
      </c>
      <c r="E15" s="30" t="n">
        <f aca="false">SUMIF('Trade Data'!$D$4:$D$43,A15,'Trade Data'!$O$4:$O$43)</f>
        <v>-3.27324499875463</v>
      </c>
      <c r="F15" s="13" t="n">
        <f aca="false">E15/B15</f>
        <v>-0.25178807682728</v>
      </c>
      <c r="G15" s="16" t="n">
        <f aca="false">IFERROR(SUMIFS('Trade Data'!$O$4:$O$43,'Trade Data'!$D$4:$D$43,A15,'Trade Data'!$O$4:$O$43,"&gt;0")/ABS(SUMIFS('Trade Data'!$O$4:$O$43,'Trade Data'!$D$4:$D$43,A15,'Trade Data'!$O$4:$O$43,"&lt;0")),"n/a")</f>
        <v>0.625588582069541</v>
      </c>
      <c r="H15" s="26" t="n">
        <f aca="false">SUMIF('Trade Data'!$D$4:$D$43,A15,'Trade Data'!$N$4:$N$43)</f>
        <v>-298.02</v>
      </c>
    </row>
    <row r="16" customFormat="false" ht="15" hidden="false" customHeight="false" outlineLevel="0" collapsed="false">
      <c r="A16" s="6" t="s">
        <v>68</v>
      </c>
      <c r="B16" s="14" t="n">
        <f aca="false">COUNTIF('Trade Data'!$D$4:$D$43,A16)</f>
        <v>14</v>
      </c>
      <c r="C16" s="14" t="n">
        <f aca="false">COUNTIFS('Trade Data'!$D$4:$D$43,A16,'Trade Data'!$O$4:$O$43,"&gt;0")</f>
        <v>8</v>
      </c>
      <c r="D16" s="25" t="n">
        <f aca="false">C16/B16*100</f>
        <v>57.1428571428571</v>
      </c>
      <c r="E16" s="30" t="n">
        <f aca="false">SUMIF('Trade Data'!$D$4:$D$43,A16,'Trade Data'!$O$4:$O$43)</f>
        <v>6.23300389149778</v>
      </c>
      <c r="F16" s="13" t="n">
        <f aca="false">E16/B16</f>
        <v>0.445214563678413</v>
      </c>
      <c r="G16" s="16" t="n">
        <f aca="false">IFERROR(SUMIFS('Trade Data'!$O$4:$O$43,'Trade Data'!$D$4:$D$43,A16,'Trade Data'!$O$4:$O$43,"&gt;0")/ABS(SUMIFS('Trade Data'!$O$4:$O$43,'Trade Data'!$D$4:$D$43,A16,'Trade Data'!$O$4:$O$43,"&lt;0")),"n/a")</f>
        <v>1.95506650937877</v>
      </c>
      <c r="H16" s="26" t="n">
        <f aca="false">SUMIF('Trade Data'!$D$4:$D$43,A16,'Trade Data'!$N$4:$N$43)</f>
        <v>576.39</v>
      </c>
    </row>
    <row r="17" customFormat="false" ht="15" hidden="false" customHeight="false" outlineLevel="0" collapsed="false">
      <c r="A17" s="6" t="s">
        <v>83</v>
      </c>
      <c r="B17" s="14" t="n">
        <f aca="false">COUNTIF('Trade Data'!$D$4:$D$43,A17)</f>
        <v>8</v>
      </c>
      <c r="C17" s="14" t="n">
        <f aca="false">COUNTIFS('Trade Data'!$D$4:$D$43,A17,'Trade Data'!$O$4:$O$43,"&gt;0")</f>
        <v>4</v>
      </c>
      <c r="D17" s="25" t="n">
        <f aca="false">C17/B17*100</f>
        <v>50</v>
      </c>
      <c r="E17" s="30" t="n">
        <f aca="false">SUMIF('Trade Data'!$D$4:$D$43,A17,'Trade Data'!$O$4:$O$43)</f>
        <v>3.3623119853253</v>
      </c>
      <c r="F17" s="13" t="n">
        <f aca="false">E17/B17</f>
        <v>0.420288998165662</v>
      </c>
      <c r="G17" s="16" t="n">
        <f aca="false">IFERROR(SUMIFS('Trade Data'!$O$4:$O$43,'Trade Data'!$D$4:$D$43,A17,'Trade Data'!$O$4:$O$43,"&gt;0")/ABS(SUMIFS('Trade Data'!$O$4:$O$43,'Trade Data'!$D$4:$D$43,A17,'Trade Data'!$O$4:$O$43,"&lt;0")),"n/a")</f>
        <v>1.81661097880287</v>
      </c>
      <c r="H17" s="26" t="n">
        <f aca="false">SUMIF('Trade Data'!$D$4:$D$43,A17,'Trade Data'!$N$4:$N$43)</f>
        <v>35.42</v>
      </c>
    </row>
    <row r="18" customFormat="false" ht="15" hidden="false" customHeight="false" outlineLevel="0" collapsed="false">
      <c r="A18" s="2" t="s">
        <v>233</v>
      </c>
      <c r="B18" s="2" t="n">
        <f aca="false">SUM(B14:B17)</f>
        <v>40</v>
      </c>
      <c r="E18" s="31" t="n">
        <f aca="false">SUM(E14:E17)</f>
        <v>4.11986217945923</v>
      </c>
    </row>
    <row r="20" customFormat="false" ht="15" hidden="false" customHeight="false" outlineLevel="0" collapsed="false">
      <c r="A20" s="28" t="s">
        <v>235</v>
      </c>
    </row>
    <row r="21" customFormat="false" ht="15" hidden="false" customHeight="false" outlineLevel="0" collapsed="false">
      <c r="A21" s="29" t="s">
        <v>20</v>
      </c>
      <c r="B21" s="29" t="s">
        <v>227</v>
      </c>
      <c r="C21" s="29" t="s">
        <v>228</v>
      </c>
      <c r="D21" s="29" t="s">
        <v>147</v>
      </c>
      <c r="E21" s="29" t="s">
        <v>229</v>
      </c>
      <c r="F21" s="29" t="s">
        <v>230</v>
      </c>
      <c r="G21" s="29" t="s">
        <v>231</v>
      </c>
      <c r="H21" s="29" t="s">
        <v>232</v>
      </c>
    </row>
    <row r="22" customFormat="false" ht="15" hidden="false" customHeight="false" outlineLevel="0" collapsed="false">
      <c r="A22" s="6" t="s">
        <v>60</v>
      </c>
      <c r="B22" s="14" t="n">
        <f aca="false">COUNTIF('Trade Data'!$C$4:$C$43,A22)</f>
        <v>9</v>
      </c>
      <c r="C22" s="14" t="n">
        <f aca="false">COUNTIFS('Trade Data'!$C$4:$C$43,A22,'Trade Data'!$O$4:$O$43,"&gt;0")</f>
        <v>5</v>
      </c>
      <c r="D22" s="25" t="n">
        <f aca="false">C22/B22*100</f>
        <v>55.5555555555556</v>
      </c>
      <c r="E22" s="30" t="n">
        <f aca="false">SUMIF('Trade Data'!$C$4:$C$43,A22,'Trade Data'!$O$4:$O$43)</f>
        <v>4.81017800689188</v>
      </c>
      <c r="F22" s="13" t="n">
        <f aca="false">E22/B22</f>
        <v>0.534464222987986</v>
      </c>
      <c r="G22" s="16" t="n">
        <f aca="false">IFERROR(SUMIFS('Trade Data'!$O$4:$O$43,'Trade Data'!$C$4:$C$43,A22,'Trade Data'!$O$4:$O$43,"&gt;0")/ABS(SUMIFS('Trade Data'!$O$4:$O$43,'Trade Data'!$C$4:$C$43,A22,'Trade Data'!$O$4:$O$43,"&lt;0")),"n/a")</f>
        <v>2.15729936314027</v>
      </c>
      <c r="H22" s="26" t="n">
        <f aca="false">SUMIF('Trade Data'!$C$4:$C$43,A22,'Trade Data'!$N$4:$N$43)</f>
        <v>235.92</v>
      </c>
    </row>
    <row r="23" customFormat="false" ht="15" hidden="false" customHeight="false" outlineLevel="0" collapsed="false">
      <c r="A23" s="6" t="s">
        <v>71</v>
      </c>
      <c r="B23" s="14" t="n">
        <f aca="false">COUNTIF('Trade Data'!$C$4:$C$43,A23)</f>
        <v>8</v>
      </c>
      <c r="C23" s="14" t="n">
        <f aca="false">COUNTIFS('Trade Data'!$C$4:$C$43,A23,'Trade Data'!$O$4:$O$43,"&gt;0")</f>
        <v>5</v>
      </c>
      <c r="D23" s="25" t="n">
        <f aca="false">C23/B23*100</f>
        <v>62.5</v>
      </c>
      <c r="E23" s="30" t="n">
        <f aca="false">SUMIF('Trade Data'!$C$4:$C$43,A23,'Trade Data'!$O$4:$O$43)</f>
        <v>4.4501963614499</v>
      </c>
      <c r="F23" s="13" t="n">
        <f aca="false">E23/B23</f>
        <v>0.556274545181237</v>
      </c>
      <c r="G23" s="16" t="n">
        <f aca="false">IFERROR(SUMIFS('Trade Data'!$O$4:$O$43,'Trade Data'!$C$4:$C$43,A23,'Trade Data'!$O$4:$O$43,"&gt;0")/ABS(SUMIFS('Trade Data'!$O$4:$O$43,'Trade Data'!$C$4:$C$43,A23,'Trade Data'!$O$4:$O$43,"&lt;0")),"n/a")</f>
        <v>2.44480295234116</v>
      </c>
      <c r="H23" s="26" t="n">
        <f aca="false">SUMIF('Trade Data'!$C$4:$C$43,A23,'Trade Data'!$N$4:$N$43)</f>
        <v>442.44</v>
      </c>
    </row>
    <row r="24" customFormat="false" ht="15" hidden="false" customHeight="false" outlineLevel="0" collapsed="false">
      <c r="A24" s="6" t="s">
        <v>102</v>
      </c>
      <c r="B24" s="14" t="n">
        <f aca="false">COUNTIF('Trade Data'!$C$4:$C$43,A24)</f>
        <v>5</v>
      </c>
      <c r="C24" s="14" t="n">
        <f aca="false">COUNTIFS('Trade Data'!$C$4:$C$43,A24,'Trade Data'!$O$4:$O$43,"&gt;0")</f>
        <v>1</v>
      </c>
      <c r="D24" s="25" t="n">
        <f aca="false">C24/B24*100</f>
        <v>20</v>
      </c>
      <c r="E24" s="30" t="n">
        <f aca="false">SUMIF('Trade Data'!$C$4:$C$43,A24,'Trade Data'!$O$4:$O$43)</f>
        <v>-3.24170156510492</v>
      </c>
      <c r="F24" s="13" t="n">
        <f aca="false">E24/B24</f>
        <v>-0.648340313020984</v>
      </c>
      <c r="G24" s="16" t="n">
        <f aca="false">IFERROR(SUMIFS('Trade Data'!$O$4:$O$43,'Trade Data'!$C$4:$C$43,A24,'Trade Data'!$O$4:$O$43,"&gt;0")/ABS(SUMIFS('Trade Data'!$O$4:$O$43,'Trade Data'!$C$4:$C$43,A24,'Trade Data'!$O$4:$O$43,"&lt;0")),"n/a")</f>
        <v>0.229209386341631</v>
      </c>
      <c r="H24" s="26" t="n">
        <f aca="false">SUMIF('Trade Data'!$C$4:$C$43,A24,'Trade Data'!$N$4:$N$43)</f>
        <v>-327.51</v>
      </c>
    </row>
    <row r="25" customFormat="false" ht="15" hidden="false" customHeight="false" outlineLevel="0" collapsed="false">
      <c r="A25" s="6" t="s">
        <v>52</v>
      </c>
      <c r="B25" s="14" t="n">
        <f aca="false">COUNTIF('Trade Data'!$C$4:$C$43,A25)</f>
        <v>11</v>
      </c>
      <c r="C25" s="14" t="n">
        <f aca="false">COUNTIFS('Trade Data'!$C$4:$C$43,A25,'Trade Data'!$O$4:$O$43,"&gt;0")</f>
        <v>5</v>
      </c>
      <c r="D25" s="25" t="n">
        <f aca="false">C25/B25*100</f>
        <v>45.4545454545455</v>
      </c>
      <c r="E25" s="30" t="n">
        <f aca="false">SUMIF('Trade Data'!$C$4:$C$43,A25,'Trade Data'!$O$4:$O$43)</f>
        <v>0.747788468926681</v>
      </c>
      <c r="F25" s="13" t="n">
        <f aca="false">E25/B25</f>
        <v>0.0679807699024256</v>
      </c>
      <c r="G25" s="16" t="n">
        <f aca="false">IFERROR(SUMIFS('Trade Data'!$O$4:$O$43,'Trade Data'!$C$4:$C$43,A25,'Trade Data'!$O$4:$O$43,"&gt;0")/ABS(SUMIFS('Trade Data'!$O$4:$O$43,'Trade Data'!$C$4:$C$43,A25,'Trade Data'!$O$4:$O$43,"&lt;0")),"n/a")</f>
        <v>1.11629421584895</v>
      </c>
      <c r="H25" s="26" t="n">
        <f aca="false">SUMIF('Trade Data'!$C$4:$C$43,A25,'Trade Data'!$N$4:$N$43)</f>
        <v>66.56</v>
      </c>
    </row>
    <row r="26" customFormat="false" ht="15" hidden="false" customHeight="false" outlineLevel="0" collapsed="false">
      <c r="A26" s="6" t="s">
        <v>67</v>
      </c>
      <c r="B26" s="14" t="n">
        <f aca="false">COUNTIF('Trade Data'!$C$4:$C$43,A26)</f>
        <v>7</v>
      </c>
      <c r="C26" s="14" t="n">
        <f aca="false">COUNTIFS('Trade Data'!$C$4:$C$43,A26,'Trade Data'!$O$4:$O$43,"&gt;0")</f>
        <v>2</v>
      </c>
      <c r="D26" s="25" t="n">
        <f aca="false">C26/B26*100</f>
        <v>28.5714285714286</v>
      </c>
      <c r="E26" s="30" t="n">
        <f aca="false">SUMIF('Trade Data'!$C$4:$C$43,A26,'Trade Data'!$O$4:$O$43)</f>
        <v>-2.64659909270431</v>
      </c>
      <c r="F26" s="13" t="n">
        <f aca="false">E26/B26</f>
        <v>-0.378085584672044</v>
      </c>
      <c r="G26" s="16" t="n">
        <f aca="false">IFERROR(SUMIFS('Trade Data'!$O$4:$O$43,'Trade Data'!$C$4:$C$43,A26,'Trade Data'!$O$4:$O$43,"&gt;0")/ABS(SUMIFS('Trade Data'!$O$4:$O$43,'Trade Data'!$C$4:$C$43,A26,'Trade Data'!$O$4:$O$43,"&lt;0")),"n/a")</f>
        <v>0.535185529649998</v>
      </c>
      <c r="H26" s="26" t="n">
        <f aca="false">SUMIF('Trade Data'!$C$4:$C$43,A26,'Trade Data'!$N$4:$N$43)</f>
        <v>-272.94</v>
      </c>
    </row>
    <row r="27" customFormat="false" ht="15" hidden="false" customHeight="false" outlineLevel="0" collapsed="false">
      <c r="A27" s="2" t="s">
        <v>233</v>
      </c>
      <c r="B27" s="2" t="n">
        <f aca="false">SUM(B22:B26)</f>
        <v>40</v>
      </c>
      <c r="E27" s="31" t="n">
        <f aca="false">SUM(E22:E26)</f>
        <v>4.11986217945923</v>
      </c>
    </row>
    <row r="29" customFormat="false" ht="15" hidden="false" customHeight="false" outlineLevel="0" collapsed="false">
      <c r="A29" s="28" t="s">
        <v>236</v>
      </c>
    </row>
    <row r="30" customFormat="false" ht="15" hidden="false" customHeight="false" outlineLevel="0" collapsed="false">
      <c r="A30" s="29" t="s">
        <v>23</v>
      </c>
      <c r="B30" s="29" t="s">
        <v>227</v>
      </c>
      <c r="C30" s="29" t="s">
        <v>228</v>
      </c>
      <c r="D30" s="29" t="s">
        <v>147</v>
      </c>
      <c r="E30" s="29" t="s">
        <v>229</v>
      </c>
      <c r="F30" s="29" t="s">
        <v>230</v>
      </c>
      <c r="G30" s="29" t="s">
        <v>231</v>
      </c>
      <c r="H30" s="29" t="s">
        <v>232</v>
      </c>
    </row>
    <row r="31" customFormat="false" ht="15" hidden="false" customHeight="false" outlineLevel="0" collapsed="false">
      <c r="A31" s="6" t="s">
        <v>55</v>
      </c>
      <c r="B31" s="14" t="n">
        <f aca="false">COUNTIF('Trade Data'!$F$4:$F$43,A31)</f>
        <v>26</v>
      </c>
      <c r="C31" s="14" t="n">
        <f aca="false">COUNTIFS('Trade Data'!$F$4:$F$43,A31,'Trade Data'!$O$4:$O$43,"&gt;0")</f>
        <v>14</v>
      </c>
      <c r="D31" s="25" t="n">
        <f aca="false">C31/B31*100</f>
        <v>53.8461538461539</v>
      </c>
      <c r="E31" s="30" t="n">
        <f aca="false">SUMIF('Trade Data'!$F$4:$F$43,A31,'Trade Data'!$O$4:$O$43)</f>
        <v>7.68057795588522</v>
      </c>
      <c r="F31" s="13" t="n">
        <f aca="false">E31/B31</f>
        <v>0.295406844457124</v>
      </c>
      <c r="G31" s="16" t="n">
        <f aca="false">IFERROR(SUMIFS('Trade Data'!$O$4:$O$43,'Trade Data'!$F$4:$F$43,A31,'Trade Data'!$O$4:$O$43,"&gt;0")/ABS(SUMIFS('Trade Data'!$O$4:$O$43,'Trade Data'!$F$4:$F$43,A31,'Trade Data'!$O$4:$O$43,"&lt;0")),"n/a")</f>
        <v>1.5773818776812</v>
      </c>
      <c r="H31" s="26" t="n">
        <f aca="false">SUMIF('Trade Data'!$F$4:$F$43,A31,'Trade Data'!$N$4:$N$43)</f>
        <v>554.92</v>
      </c>
    </row>
    <row r="32" customFormat="false" ht="15" hidden="false" customHeight="false" outlineLevel="0" collapsed="false">
      <c r="A32" s="6" t="s">
        <v>63</v>
      </c>
      <c r="B32" s="14" t="n">
        <f aca="false">COUNTIF('Trade Data'!$F$4:$F$43,A32)</f>
        <v>14</v>
      </c>
      <c r="C32" s="14" t="n">
        <f aca="false">COUNTIFS('Trade Data'!$F$4:$F$43,A32,'Trade Data'!$O$4:$O$43,"&gt;0")</f>
        <v>4</v>
      </c>
      <c r="D32" s="25" t="n">
        <f aca="false">C32/B32*100</f>
        <v>28.5714285714286</v>
      </c>
      <c r="E32" s="30" t="n">
        <f aca="false">SUMIF('Trade Data'!$F$4:$F$43,A32,'Trade Data'!$O$4:$O$43)</f>
        <v>-3.56071577642599</v>
      </c>
      <c r="F32" s="13" t="n">
        <f aca="false">E32/B32</f>
        <v>-0.254336841173285</v>
      </c>
      <c r="G32" s="16" t="n">
        <f aca="false">IFERROR(SUMIFS('Trade Data'!$O$4:$O$43,'Trade Data'!$F$4:$F$43,A32,'Trade Data'!$O$4:$O$43,"&gt;0")/ABS(SUMIFS('Trade Data'!$O$4:$O$43,'Trade Data'!$F$4:$F$43,A32,'Trade Data'!$O$4:$O$43,"&lt;0")),"n/a")</f>
        <v>0.653080481216705</v>
      </c>
      <c r="H32" s="26" t="n">
        <f aca="false">SUMIF('Trade Data'!$F$4:$F$43,A32,'Trade Data'!$N$4:$N$43)</f>
        <v>-410.45</v>
      </c>
    </row>
    <row r="33" customFormat="false" ht="15" hidden="false" customHeight="false" outlineLevel="0" collapsed="false">
      <c r="A33" s="2" t="s">
        <v>233</v>
      </c>
      <c r="B33" s="2" t="n">
        <f aca="false">SUM(B31:B32)</f>
        <v>40</v>
      </c>
      <c r="E33" s="31" t="n">
        <f aca="false">SUM(E31:E32)</f>
        <v>4.11986217945923</v>
      </c>
    </row>
    <row r="35" customFormat="false" ht="15" hidden="false" customHeight="false" outlineLevel="0" collapsed="false">
      <c r="A35" s="28" t="s">
        <v>237</v>
      </c>
    </row>
    <row r="36" customFormat="false" ht="15" hidden="false" customHeight="false" outlineLevel="0" collapsed="false">
      <c r="A36" s="29" t="s">
        <v>238</v>
      </c>
      <c r="B36" s="29" t="s">
        <v>227</v>
      </c>
      <c r="C36" s="29" t="s">
        <v>228</v>
      </c>
      <c r="D36" s="29" t="s">
        <v>147</v>
      </c>
      <c r="E36" s="29" t="s">
        <v>229</v>
      </c>
      <c r="F36" s="29" t="s">
        <v>230</v>
      </c>
      <c r="G36" s="29" t="s">
        <v>231</v>
      </c>
      <c r="H36" s="29" t="s">
        <v>232</v>
      </c>
    </row>
    <row r="37" customFormat="false" ht="15" hidden="false" customHeight="false" outlineLevel="0" collapsed="false">
      <c r="A37" s="6" t="s">
        <v>56</v>
      </c>
      <c r="B37" s="14" t="n">
        <f aca="false">COUNTIF('Trade Data'!$R$4:$R$43,A37)</f>
        <v>30</v>
      </c>
      <c r="C37" s="14" t="n">
        <f aca="false">COUNTIFS('Trade Data'!$R$4:$R$43,A37,'Trade Data'!$O$4:$O$43,"&gt;0")</f>
        <v>15</v>
      </c>
      <c r="D37" s="25" t="n">
        <f aca="false">C37/B37*100</f>
        <v>50</v>
      </c>
      <c r="E37" s="30" t="n">
        <f aca="false">SUMIF('Trade Data'!$R$4:$R$43,A37,'Trade Data'!$O$4:$O$43)</f>
        <v>9.27419277452829</v>
      </c>
      <c r="F37" s="13" t="n">
        <f aca="false">E37/B37</f>
        <v>0.309139759150943</v>
      </c>
      <c r="G37" s="16" t="n">
        <f aca="false">IFERROR(SUMIFS('Trade Data'!$O$4:$O$43,'Trade Data'!$R$4:$R$43,A37,'Trade Data'!$O$4:$O$43,"&gt;0")/ABS(SUMIFS('Trade Data'!$O$4:$O$43,'Trade Data'!$R$4:$R$43,A37,'Trade Data'!$O$4:$O$43,"&lt;0")),"n/a")</f>
        <v>1.5988362819383</v>
      </c>
      <c r="H37" s="26" t="n">
        <f aca="false">SUMIF('Trade Data'!$R$4:$R$43,A37,'Trade Data'!$N$4:$N$43)</f>
        <v>700.83</v>
      </c>
    </row>
    <row r="38" customFormat="false" ht="15" hidden="false" customHeight="false" outlineLevel="0" collapsed="false">
      <c r="A38" s="6" t="s">
        <v>87</v>
      </c>
      <c r="B38" s="14" t="n">
        <f aca="false">COUNTIF('Trade Data'!$R$4:$R$43,A38)</f>
        <v>2</v>
      </c>
      <c r="C38" s="14" t="n">
        <f aca="false">COUNTIFS('Trade Data'!$R$4:$R$43,A38,'Trade Data'!$O$4:$O$43,"&gt;0")</f>
        <v>0</v>
      </c>
      <c r="D38" s="25" t="n">
        <f aca="false">C38/B38*100</f>
        <v>0</v>
      </c>
      <c r="E38" s="30" t="n">
        <f aca="false">SUMIF('Trade Data'!$R$4:$R$43,A38,'Trade Data'!$O$4:$O$43)</f>
        <v>-2.0514595750605</v>
      </c>
      <c r="F38" s="13" t="n">
        <f aca="false">E38/B38</f>
        <v>-1.02572978753025</v>
      </c>
      <c r="G38" s="16" t="n">
        <f aca="false">IFERROR(SUMIFS('Trade Data'!$O$4:$O$43,'Trade Data'!$R$4:$R$43,A38,'Trade Data'!$O$4:$O$43,"&gt;0")/ABS(SUMIFS('Trade Data'!$O$4:$O$43,'Trade Data'!$R$4:$R$43,A38,'Trade Data'!$O$4:$O$43,"&lt;0")),"n/a")</f>
        <v>0</v>
      </c>
      <c r="H38" s="26" t="n">
        <f aca="false">SUMIF('Trade Data'!$R$4:$R$43,A38,'Trade Data'!$N$4:$N$43)</f>
        <v>-207.54</v>
      </c>
    </row>
    <row r="39" customFormat="false" ht="15" hidden="false" customHeight="false" outlineLevel="0" collapsed="false">
      <c r="A39" s="6" t="s">
        <v>73</v>
      </c>
      <c r="B39" s="14" t="n">
        <f aca="false">COUNTIF('Trade Data'!$R$4:$R$43,A39)</f>
        <v>8</v>
      </c>
      <c r="C39" s="14" t="n">
        <f aca="false">COUNTIFS('Trade Data'!$R$4:$R$43,A39,'Trade Data'!$O$4:$O$43,"&gt;0")</f>
        <v>3</v>
      </c>
      <c r="D39" s="25" t="n">
        <f aca="false">C39/B39*100</f>
        <v>37.5</v>
      </c>
      <c r="E39" s="30" t="n">
        <f aca="false">SUMIF('Trade Data'!$R$4:$R$43,A39,'Trade Data'!$O$4:$O$43)</f>
        <v>-3.10287102000855</v>
      </c>
      <c r="F39" s="13" t="n">
        <f aca="false">E39/B39</f>
        <v>-0.387858877501069</v>
      </c>
      <c r="G39" s="16" t="n">
        <f aca="false">IFERROR(SUMIFS('Trade Data'!$O$4:$O$43,'Trade Data'!$R$4:$R$43,A39,'Trade Data'!$O$4:$O$43,"&gt;0")/ABS(SUMIFS('Trade Data'!$O$4:$O$43,'Trade Data'!$R$4:$R$43,A39,'Trade Data'!$O$4:$O$43,"&lt;0")),"n/a")</f>
        <v>0.485235373776009</v>
      </c>
      <c r="H39" s="26" t="n">
        <f aca="false">SUMIF('Trade Data'!$R$4:$R$43,A39,'Trade Data'!$N$4:$N$43)</f>
        <v>-348.82</v>
      </c>
    </row>
    <row r="40" customFormat="false" ht="15" hidden="false" customHeight="false" outlineLevel="0" collapsed="false">
      <c r="A40" s="2" t="s">
        <v>233</v>
      </c>
      <c r="B40" s="2" t="n">
        <f aca="false">SUM(B37:B39)</f>
        <v>40</v>
      </c>
      <c r="E40" s="31" t="n">
        <f aca="false">SUM(E37:E39)</f>
        <v>4.11986217945923</v>
      </c>
    </row>
    <row r="42" customFormat="false" ht="15" hidden="false" customHeight="false" outlineLevel="0" collapsed="false">
      <c r="A42" s="28" t="s">
        <v>239</v>
      </c>
    </row>
    <row r="43" customFormat="false" ht="15" hidden="false" customHeight="false" outlineLevel="0" collapsed="false">
      <c r="A43" s="29" t="s">
        <v>240</v>
      </c>
      <c r="B43" s="29" t="s">
        <v>227</v>
      </c>
      <c r="C43" s="29" t="s">
        <v>228</v>
      </c>
      <c r="D43" s="29" t="s">
        <v>147</v>
      </c>
      <c r="E43" s="29" t="s">
        <v>229</v>
      </c>
      <c r="F43" s="29" t="s">
        <v>230</v>
      </c>
      <c r="G43" s="29" t="s">
        <v>231</v>
      </c>
      <c r="H43" s="29" t="s">
        <v>232</v>
      </c>
    </row>
    <row r="44" customFormat="false" ht="15" hidden="false" customHeight="false" outlineLevel="0" collapsed="false">
      <c r="A44" s="6" t="s">
        <v>56</v>
      </c>
      <c r="B44" s="14" t="n">
        <f aca="false">COUNTIF('Trade Data'!$Q$4:$Q$43,A44)</f>
        <v>36</v>
      </c>
      <c r="C44" s="14" t="n">
        <f aca="false">COUNTIFS('Trade Data'!$Q$4:$Q$43,A44,'Trade Data'!$O$4:$O$43,"&gt;0")</f>
        <v>17</v>
      </c>
      <c r="D44" s="25" t="n">
        <f aca="false">C44/B44*100</f>
        <v>47.2222222222222</v>
      </c>
      <c r="E44" s="30" t="n">
        <f aca="false">SUMIF('Trade Data'!$Q$4:$Q$43,A44,'Trade Data'!$O$4:$O$43)</f>
        <v>5.90026849854876</v>
      </c>
      <c r="F44" s="13" t="n">
        <f aca="false">E44/B44</f>
        <v>0.16389634718191</v>
      </c>
      <c r="G44" s="16" t="n">
        <f aca="false">IFERROR(SUMIFS('Trade Data'!$O$4:$O$43,'Trade Data'!$Q$4:$Q$43,A44,'Trade Data'!$O$4:$O$43,"&gt;0")/ABS(SUMIFS('Trade Data'!$O$4:$O$43,'Trade Data'!$Q$4:$Q$43,A44,'Trade Data'!$O$4:$O$43,"&lt;0")),"n/a")</f>
        <v>1.30038654957344</v>
      </c>
      <c r="H44" s="26" t="n">
        <f aca="false">SUMIF('Trade Data'!$Q$4:$Q$43,A44,'Trade Data'!$N$4:$N$43)</f>
        <v>431.72</v>
      </c>
    </row>
    <row r="45" customFormat="false" ht="15" hidden="false" customHeight="false" outlineLevel="0" collapsed="false">
      <c r="A45" s="6" t="s">
        <v>73</v>
      </c>
      <c r="B45" s="14" t="n">
        <f aca="false">COUNTIF('Trade Data'!$Q$4:$Q$43,A45)</f>
        <v>4</v>
      </c>
      <c r="C45" s="14" t="n">
        <f aca="false">COUNTIFS('Trade Data'!$Q$4:$Q$43,A45,'Trade Data'!$O$4:$O$43,"&gt;0")</f>
        <v>1</v>
      </c>
      <c r="D45" s="25" t="n">
        <f aca="false">C45/B45*100</f>
        <v>25</v>
      </c>
      <c r="E45" s="30" t="n">
        <f aca="false">SUMIF('Trade Data'!$Q$4:$Q$43,A45,'Trade Data'!$O$4:$O$43)</f>
        <v>-1.78040631908953</v>
      </c>
      <c r="F45" s="13" t="n">
        <f aca="false">E45/B45</f>
        <v>-0.445101579772382</v>
      </c>
      <c r="G45" s="16" t="n">
        <f aca="false">IFERROR(SUMIFS('Trade Data'!$O$4:$O$43,'Trade Data'!$Q$4:$Q$43,A45,'Trade Data'!$O$4:$O$43,"&gt;0")/ABS(SUMIFS('Trade Data'!$O$4:$O$43,'Trade Data'!$Q$4:$Q$43,A45,'Trade Data'!$O$4:$O$43,"&lt;0")),"n/a")</f>
        <v>0.546275338762371</v>
      </c>
      <c r="H45" s="26" t="n">
        <f aca="false">SUMIF('Trade Data'!$Q$4:$Q$43,A45,'Trade Data'!$N$4:$N$43)</f>
        <v>-287.25</v>
      </c>
    </row>
    <row r="46" customFormat="false" ht="15" hidden="false" customHeight="false" outlineLevel="0" collapsed="false">
      <c r="A46" s="2" t="s">
        <v>233</v>
      </c>
      <c r="B46" s="2" t="n">
        <f aca="false">SUM(B44:B45)</f>
        <v>40</v>
      </c>
      <c r="E46" s="31" t="n">
        <f aca="false">SUM(E44:E45)</f>
        <v>4.11986217945923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2026-10-12T01:38:29Z</dcterms:created>
  <dc:creator>openpyxl</dc:creator>
  <dc:description/>
  <dc:language>en-US</dc:language>
  <cp:lastModifiedBy/>
  <dcterms:modified xsi:type="dcterms:W3CDTF">2026-10-12T01:38:29Z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